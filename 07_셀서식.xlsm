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600" yWindow="405" windowWidth="12675" windowHeight="7995" tabRatio="879"/>
  </bookViews>
  <sheets>
    <sheet name="Sheet1" sheetId="2" r:id="rId1"/>
    <sheet name="Sheet2" sheetId="3" r:id="rId2"/>
    <sheet name="Sheet3" sheetId="4" r:id="rId3"/>
    <sheet name="Sheet4" sheetId="5" r:id="rId4"/>
    <sheet name="Sheet5" sheetId="6" r:id="rId5"/>
    <sheet name="Sheet6" sheetId="7" r:id="rId6"/>
    <sheet name="Sheet7" sheetId="8" r:id="rId7"/>
    <sheet name="Sheet8" sheetId="9" r:id="rId8"/>
    <sheet name="Sheet9" sheetId="11" r:id="rId9"/>
    <sheet name="Sheet10" sheetId="14" r:id="rId10"/>
    <sheet name="Sheet11" sheetId="12" r:id="rId11"/>
    <sheet name="Sheet12" sheetId="13" r:id="rId12"/>
    <sheet name="Sheet13" sheetId="16" r:id="rId13"/>
    <sheet name="Sheet14" sheetId="17" r:id="rId14"/>
    <sheet name="Sheet15" sheetId="18" r:id="rId15"/>
    <sheet name="Sheet16" sheetId="19" r:id="rId16"/>
  </sheets>
  <calcPr calcId="145621"/>
</workbook>
</file>

<file path=xl/calcChain.xml><?xml version="1.0" encoding="utf-8"?>
<calcChain xmlns="http://schemas.openxmlformats.org/spreadsheetml/2006/main">
  <c r="D10" i="19" l="1"/>
  <c r="C10" i="19"/>
  <c r="E9" i="19"/>
  <c r="E8" i="19"/>
  <c r="E7" i="19"/>
  <c r="E6" i="19"/>
  <c r="E5" i="19"/>
  <c r="E4" i="19"/>
  <c r="E3" i="19"/>
  <c r="E9" i="18" l="1"/>
  <c r="E8" i="18"/>
  <c r="E7" i="18"/>
  <c r="E6" i="18"/>
  <c r="E5" i="18"/>
  <c r="E4" i="18"/>
  <c r="E3" i="18"/>
  <c r="E9" i="17"/>
  <c r="E8" i="17"/>
  <c r="E7" i="17"/>
  <c r="E6" i="17"/>
  <c r="E5" i="17"/>
  <c r="E4" i="17"/>
  <c r="E3" i="17"/>
  <c r="B2" i="16"/>
  <c r="C2" i="16"/>
  <c r="D2" i="16"/>
  <c r="E2" i="16"/>
  <c r="B3" i="16"/>
  <c r="C3" i="16"/>
  <c r="D3" i="16"/>
  <c r="E3" i="16"/>
  <c r="B4" i="16"/>
  <c r="C4" i="16"/>
  <c r="D4" i="16"/>
  <c r="E4" i="16"/>
  <c r="B5" i="16"/>
  <c r="C5" i="16"/>
  <c r="D5" i="16"/>
  <c r="E5" i="16"/>
  <c r="B6" i="16"/>
  <c r="C6" i="16"/>
  <c r="D6" i="16"/>
  <c r="E6" i="16"/>
  <c r="B7" i="16"/>
  <c r="C7" i="16"/>
  <c r="D7" i="16"/>
  <c r="E7" i="16"/>
  <c r="F9" i="13" l="1"/>
  <c r="F8" i="13"/>
  <c r="F7" i="13"/>
  <c r="F6" i="13"/>
  <c r="F5" i="13"/>
  <c r="F4" i="13"/>
  <c r="F3" i="13"/>
  <c r="F4" i="8" l="1"/>
  <c r="F5" i="8"/>
  <c r="F6" i="8"/>
  <c r="F7" i="8"/>
  <c r="F8" i="8"/>
  <c r="F9" i="8"/>
  <c r="F3" i="8"/>
  <c r="F3" i="2" l="1"/>
  <c r="G3" i="2" s="1"/>
  <c r="F4" i="2"/>
  <c r="G4" i="2" s="1"/>
  <c r="F5" i="2"/>
  <c r="G5" i="2" s="1"/>
  <c r="F6" i="2"/>
  <c r="G6" i="2" s="1"/>
  <c r="F7" i="2"/>
  <c r="G7" i="2" s="1"/>
  <c r="F8" i="2"/>
  <c r="G8" i="2" s="1"/>
  <c r="F9" i="2"/>
  <c r="G9" i="2" s="1"/>
</calcChain>
</file>

<file path=xl/sharedStrings.xml><?xml version="1.0" encoding="utf-8"?>
<sst xmlns="http://schemas.openxmlformats.org/spreadsheetml/2006/main" count="111" uniqueCount="49">
  <si>
    <t>이름</t>
    <phoneticPr fontId="1" type="noConversion"/>
  </si>
  <si>
    <t>1차</t>
    <phoneticPr fontId="1" type="noConversion"/>
  </si>
  <si>
    <t>2차</t>
    <phoneticPr fontId="1" type="noConversion"/>
  </si>
  <si>
    <t>3차</t>
    <phoneticPr fontId="1" type="noConversion"/>
  </si>
  <si>
    <t>평균</t>
    <phoneticPr fontId="1" type="noConversion"/>
  </si>
  <si>
    <t>평가</t>
    <phoneticPr fontId="1" type="noConversion"/>
  </si>
  <si>
    <t>선보경</t>
    <phoneticPr fontId="1" type="noConversion"/>
  </si>
  <si>
    <t>이재원</t>
    <phoneticPr fontId="1" type="noConversion"/>
  </si>
  <si>
    <t>최유진</t>
    <phoneticPr fontId="1" type="noConversion"/>
  </si>
  <si>
    <t>김주호</t>
    <phoneticPr fontId="1" type="noConversion"/>
  </si>
  <si>
    <t>이승현</t>
    <phoneticPr fontId="1" type="noConversion"/>
  </si>
  <si>
    <t>이재석</t>
    <phoneticPr fontId="1" type="noConversion"/>
  </si>
  <si>
    <t>차승연</t>
    <phoneticPr fontId="1" type="noConversion"/>
  </si>
  <si>
    <t>주소</t>
    <phoneticPr fontId="1" type="noConversion"/>
  </si>
  <si>
    <t>서울시 은평구 녹번동 500-20</t>
    <phoneticPr fontId="1" type="noConversion"/>
  </si>
  <si>
    <t>서울시 서대문구 남가좌1동 드림빌딩 509호</t>
    <phoneticPr fontId="1" type="noConversion"/>
  </si>
  <si>
    <t>서울특별시 은평구 불광동 그린빌딩 203호</t>
    <phoneticPr fontId="1" type="noConversion"/>
  </si>
  <si>
    <t>서대문구 충정로2가 금호상가 309호</t>
    <phoneticPr fontId="1" type="noConversion"/>
  </si>
  <si>
    <t>서울시 마포구 서교동 470</t>
    <phoneticPr fontId="1" type="noConversion"/>
  </si>
  <si>
    <t>마포구 망원1동 목화빌 302호</t>
    <phoneticPr fontId="1" type="noConversion"/>
  </si>
  <si>
    <t>서울특별시 마포구 도화동 승리빌딩 708호</t>
    <phoneticPr fontId="1" type="noConversion"/>
  </si>
  <si>
    <t>Microsoft Excel</t>
    <phoneticPr fontId="1" type="noConversion"/>
  </si>
  <si>
    <t>→</t>
    <phoneticPr fontId="1" type="noConversion"/>
  </si>
  <si>
    <t>Microsoft Excel</t>
    <phoneticPr fontId="1" type="noConversion"/>
  </si>
  <si>
    <t>Dark1/Light1</t>
    <phoneticPr fontId="1" type="noConversion"/>
  </si>
  <si>
    <t>Accent6</t>
    <phoneticPr fontId="1" type="noConversion"/>
  </si>
  <si>
    <t>60% 밝게</t>
    <phoneticPr fontId="1" type="noConversion"/>
  </si>
  <si>
    <t>30% 어둡게</t>
    <phoneticPr fontId="1" type="noConversion"/>
  </si>
  <si>
    <t>전년도실적</t>
    <phoneticPr fontId="1" type="noConversion"/>
  </si>
  <si>
    <t>금년도실적</t>
    <phoneticPr fontId="1" type="noConversion"/>
  </si>
  <si>
    <t>생년월일</t>
    <phoneticPr fontId="1" type="noConversion"/>
  </si>
  <si>
    <t>증감율</t>
    <phoneticPr fontId="1" type="noConversion"/>
  </si>
  <si>
    <t>상품명</t>
    <phoneticPr fontId="1" type="noConversion"/>
  </si>
  <si>
    <t>(브랜드:               )</t>
    <phoneticPr fontId="1" type="noConversion"/>
  </si>
  <si>
    <t>원산지</t>
    <phoneticPr fontId="1" type="noConversion"/>
  </si>
  <si>
    <t>핏&amp;소재 유지를 위해 첫 세탁은 드라이클리닝을 권장합니다.</t>
    <phoneticPr fontId="1" type="noConversion"/>
  </si>
  <si>
    <t>세탁방법/주의사항</t>
    <phoneticPr fontId="1" type="noConversion"/>
  </si>
  <si>
    <t>Merge(False)</t>
    <phoneticPr fontId="1" type="noConversion"/>
  </si>
  <si>
    <t>Merge(True)</t>
    <phoneticPr fontId="1" type="noConversion"/>
  </si>
  <si>
    <t>UnMerge</t>
    <phoneticPr fontId="1" type="noConversion"/>
  </si>
  <si>
    <t>Excel_1</t>
    <phoneticPr fontId="1" type="noConversion"/>
  </si>
  <si>
    <t>Excel_2</t>
  </si>
  <si>
    <t>Excel_3</t>
  </si>
  <si>
    <t>Excel_4</t>
  </si>
  <si>
    <t>Excel_5</t>
  </si>
  <si>
    <t xml:space="preserve"> Excel</t>
    <phoneticPr fontId="1" type="noConversion"/>
  </si>
  <si>
    <t>Excel</t>
    <phoneticPr fontId="1" type="noConversion"/>
  </si>
  <si>
    <t>Excel</t>
    <phoneticPr fontId="1" type="noConversion"/>
  </si>
  <si>
    <t>요약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</si>
</sst>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1" formatCode="_-* #,##0_-;\-* #,##0_-;_-* &quot;-&quot;_-;_-@_-"/>
    <numFmt numFmtId="176" formatCode="0.00_ "/>
    <numFmt numFmtId="177" formatCode="@&quot;님&quot;"/>
    <numFmt numFmtId="178" formatCode="yyyy&quot;년&quot;"/>
    <numFmt numFmtId="179" formatCode="#,##0_-"/>
    <numFmt numFmtId="180" formatCode="0.00%_-"/>
    <numFmt numFmtId="181" formatCode="&quot;₩&quot;#,##0"/>
    <numFmt numFmtId="182" formatCode="0.0%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</font>
    <font>
      <b/>
      <sz val="12"/>
      <name val="맑은 고딕"/>
      <family val="3"/>
      <charset val="129"/>
      <scheme val="minor"/>
    </font>
    <font>
      <b/>
      <sz val="12"/>
      <color rgb="FFFF00FF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rgb="FF0070C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5F5FF"/>
        <bgColor indexed="64"/>
      </patternFill>
    </fill>
    <fill>
      <patternFill patternType="solid">
        <fgColor rgb="FFFFF3FF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12"/>
      </left>
      <right style="hair">
        <color indexed="64"/>
      </right>
      <top style="hair">
        <color indexed="12"/>
      </top>
      <bottom style="hair">
        <color indexed="64"/>
      </bottom>
      <diagonal/>
    </border>
    <border>
      <left style="hair">
        <color indexed="12"/>
      </left>
      <right style="hair">
        <color indexed="64"/>
      </right>
      <top/>
      <bottom style="hair">
        <color indexed="64"/>
      </bottom>
      <diagonal/>
    </border>
    <border>
      <left style="thick">
        <color indexed="12"/>
      </left>
      <right style="hair">
        <color indexed="64"/>
      </right>
      <top style="thick">
        <color indexed="12"/>
      </top>
      <bottom style="double">
        <color indexed="64"/>
      </bottom>
      <diagonal/>
    </border>
    <border>
      <left style="hair">
        <color indexed="12"/>
      </left>
      <right style="hair">
        <color indexed="64"/>
      </right>
      <top style="thick">
        <color indexed="12"/>
      </top>
      <bottom style="double">
        <color indexed="64"/>
      </bottom>
      <diagonal/>
    </border>
    <border>
      <left style="hair">
        <color indexed="12"/>
      </left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hair">
        <color indexed="64"/>
      </right>
      <top/>
      <bottom style="hair">
        <color indexed="64"/>
      </bottom>
      <diagonal/>
    </border>
    <border>
      <left style="hair">
        <color indexed="12"/>
      </left>
      <right style="thick">
        <color indexed="12"/>
      </right>
      <top/>
      <bottom style="hair">
        <color indexed="64"/>
      </bottom>
      <diagonal/>
    </border>
    <border>
      <left style="thick">
        <color indexed="12"/>
      </left>
      <right style="hair">
        <color indexed="64"/>
      </right>
      <top style="hair">
        <color indexed="12"/>
      </top>
      <bottom style="hair">
        <color indexed="64"/>
      </bottom>
      <diagonal/>
    </border>
    <border>
      <left style="hair">
        <color indexed="12"/>
      </left>
      <right style="thick">
        <color indexed="12"/>
      </right>
      <top style="hair">
        <color indexed="12"/>
      </top>
      <bottom style="hair">
        <color indexed="64"/>
      </bottom>
      <diagonal/>
    </border>
    <border>
      <left style="thick">
        <color indexed="12"/>
      </left>
      <right style="hair">
        <color indexed="64"/>
      </right>
      <top style="hair">
        <color indexed="12"/>
      </top>
      <bottom style="thick">
        <color indexed="12"/>
      </bottom>
      <diagonal/>
    </border>
    <border>
      <left style="hair">
        <color indexed="12"/>
      </left>
      <right style="hair">
        <color indexed="64"/>
      </right>
      <top style="hair">
        <color indexed="12"/>
      </top>
      <bottom style="thick">
        <color indexed="12"/>
      </bottom>
      <diagonal/>
    </border>
    <border>
      <left style="hair">
        <color indexed="12"/>
      </left>
      <right style="thick">
        <color indexed="12"/>
      </right>
      <top style="hair">
        <color indexed="12"/>
      </top>
      <bottom style="thick">
        <color indexed="1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1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 indent="1"/>
    </xf>
    <xf numFmtId="0" fontId="2" fillId="2" borderId="1" xfId="0" applyFont="1" applyFill="1" applyBorder="1" applyAlignment="1">
      <alignment horizontal="left" vertical="center" indent="1"/>
    </xf>
    <xf numFmtId="0" fontId="5" fillId="0" borderId="0" xfId="0" applyFont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177" fontId="3" fillId="0" borderId="1" xfId="0" applyNumberFormat="1" applyFont="1" applyBorder="1" applyAlignment="1">
      <alignment horizontal="center" vertical="center"/>
    </xf>
    <xf numFmtId="178" fontId="3" fillId="0" borderId="1" xfId="0" applyNumberFormat="1" applyFont="1" applyBorder="1" applyAlignment="1">
      <alignment horizontal="center" vertical="center"/>
    </xf>
    <xf numFmtId="179" fontId="2" fillId="0" borderId="1" xfId="0" applyNumberFormat="1" applyFont="1" applyBorder="1" applyAlignment="1">
      <alignment vertical="center"/>
    </xf>
    <xf numFmtId="180" fontId="3" fillId="0" borderId="1" xfId="1" applyNumberFormat="1" applyFont="1" applyBorder="1">
      <alignment vertical="center"/>
    </xf>
    <xf numFmtId="0" fontId="3" fillId="0" borderId="1" xfId="0" applyFont="1" applyBorder="1">
      <alignment vertical="center"/>
    </xf>
    <xf numFmtId="0" fontId="2" fillId="0" borderId="1" xfId="0" applyFont="1" applyBorder="1" applyAlignment="1">
      <alignment vertical="center"/>
    </xf>
    <xf numFmtId="0" fontId="3" fillId="0" borderId="1" xfId="0" applyFont="1" applyBorder="1" applyAlignment="1">
      <alignment vertical="center"/>
    </xf>
    <xf numFmtId="181" fontId="11" fillId="3" borderId="14" xfId="0" applyNumberFormat="1" applyFont="1" applyFill="1" applyBorder="1" applyAlignment="1">
      <alignment horizontal="center" vertical="center"/>
    </xf>
    <xf numFmtId="0" fontId="3" fillId="0" borderId="1" xfId="0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41" fontId="2" fillId="0" borderId="1" xfId="2" applyFont="1" applyBorder="1" applyAlignment="1">
      <alignment vertical="center"/>
    </xf>
    <xf numFmtId="182" fontId="3" fillId="0" borderId="1" xfId="1" applyNumberFormat="1" applyFont="1" applyBorder="1">
      <alignment vertical="center"/>
    </xf>
    <xf numFmtId="0" fontId="8" fillId="5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5" xfId="0" applyBorder="1">
      <alignment vertical="center"/>
    </xf>
    <xf numFmtId="0" fontId="2" fillId="0" borderId="1" xfId="0" applyFont="1" applyBorder="1" applyAlignment="1">
      <alignment horizontal="center" vertical="center"/>
    </xf>
    <xf numFmtId="41" fontId="2" fillId="0" borderId="22" xfId="2" applyNumberFormat="1" applyFont="1" applyFill="1" applyBorder="1" applyAlignment="1">
      <alignment vertical="center"/>
    </xf>
    <xf numFmtId="0" fontId="3" fillId="0" borderId="31" xfId="0" applyNumberFormat="1" applyFont="1" applyFill="1" applyBorder="1" applyAlignment="1">
      <alignment horizontal="center" vertical="center"/>
    </xf>
    <xf numFmtId="182" fontId="3" fillId="0" borderId="22" xfId="1" applyNumberFormat="1" applyFont="1" applyFill="1" applyBorder="1">
      <alignment vertical="center"/>
    </xf>
    <xf numFmtId="0" fontId="13" fillId="0" borderId="0" xfId="0" applyFont="1" applyFill="1" applyBorder="1" applyAlignment="1">
      <alignment horizontal="center" vertical="center"/>
    </xf>
    <xf numFmtId="0" fontId="13" fillId="0" borderId="24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41" fontId="3" fillId="0" borderId="24" xfId="0" applyNumberFormat="1" applyFont="1" applyFill="1" applyBorder="1" applyAlignment="1">
      <alignment vertical="center"/>
    </xf>
    <xf numFmtId="182" fontId="3" fillId="0" borderId="24" xfId="0" applyNumberFormat="1" applyFont="1" applyFill="1" applyBorder="1">
      <alignment vertical="center"/>
    </xf>
    <xf numFmtId="0" fontId="3" fillId="0" borderId="22" xfId="0" applyNumberFormat="1" applyFont="1" applyFill="1" applyBorder="1" applyAlignment="1">
      <alignment horizontal="center" vertical="center"/>
    </xf>
    <xf numFmtId="182" fontId="3" fillId="0" borderId="28" xfId="1" applyNumberFormat="1" applyFont="1" applyFill="1" applyBorder="1">
      <alignment vertical="center"/>
    </xf>
    <xf numFmtId="0" fontId="13" fillId="0" borderId="22" xfId="0" applyFont="1" applyFill="1" applyBorder="1" applyAlignment="1">
      <alignment horizontal="center" vertical="center"/>
    </xf>
    <xf numFmtId="0" fontId="13" fillId="0" borderId="28" xfId="0" applyFont="1" applyFill="1" applyBorder="1" applyAlignment="1">
      <alignment horizontal="center" vertical="center"/>
    </xf>
    <xf numFmtId="0" fontId="3" fillId="0" borderId="32" xfId="0" applyNumberFormat="1" applyFont="1" applyFill="1" applyBorder="1" applyAlignment="1">
      <alignment horizontal="center" vertical="center"/>
    </xf>
    <xf numFmtId="41" fontId="2" fillId="0" borderId="32" xfId="2" applyNumberFormat="1" applyFont="1" applyFill="1" applyBorder="1" applyAlignment="1">
      <alignment vertical="center"/>
    </xf>
    <xf numFmtId="182" fontId="3" fillId="0" borderId="1" xfId="1" applyNumberFormat="1" applyFont="1" applyFill="1" applyBorder="1">
      <alignment vertical="center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1" xfId="0" applyBorder="1" applyAlignment="1">
      <alignment vertical="center"/>
    </xf>
    <xf numFmtId="0" fontId="12" fillId="5" borderId="0" xfId="0" applyFont="1" applyFill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0" fillId="6" borderId="23" xfId="0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7" borderId="28" xfId="0" applyFill="1" applyBorder="1" applyAlignment="1">
      <alignment horizontal="center" vertical="center"/>
    </xf>
    <xf numFmtId="0" fontId="0" fillId="7" borderId="29" xfId="0" applyFill="1" applyBorder="1" applyAlignment="1">
      <alignment horizontal="center" vertical="center"/>
    </xf>
    <xf numFmtId="0" fontId="0" fillId="7" borderId="30" xfId="0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numFmt numFmtId="182" formatCode="0.0%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numFmt numFmtId="182" formatCode="0.0%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FFF3FF"/>
      <color rgb="FFE5F5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id="1" name="실적표_2" displayName="실적표_2" ref="B2:E10" totalsRowCount="1" headerRowDxfId="9" tableBorderDxfId="8">
  <autoFilter ref="B2:E9"/>
  <tableColumns count="4">
    <tableColumn id="1" name="이름" totalsRowLabel="요약" dataDxfId="7" totalsRowDxfId="6"/>
    <tableColumn id="2" name="전년도실적" totalsRowFunction="sum" dataDxfId="5" totalsRowDxfId="4" dataCellStyle="쉼표 [0]"/>
    <tableColumn id="3" name="금년도실적" totalsRowFunction="sum" dataDxfId="3" totalsRowDxfId="2" dataCellStyle="쉼표 [0]"/>
    <tableColumn id="4" name="증감율" dataDxfId="1" totalsRowDxfId="0" dataCellStyle="백분율">
      <calculatedColumnFormula>(D3-C3)/C3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G9"/>
  <sheetViews>
    <sheetView tabSelected="1" workbookViewId="0">
      <selection activeCell="B2" sqref="B2"/>
    </sheetView>
  </sheetViews>
  <sheetFormatPr defaultRowHeight="20.100000000000001" customHeight="1" x14ac:dyDescent="0.3"/>
  <cols>
    <col min="1" max="1" width="3.625" customWidth="1"/>
  </cols>
  <sheetData>
    <row r="2" spans="2:7" ht="20.100000000000001" customHeight="1" x14ac:dyDescent="0.3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</row>
    <row r="3" spans="2:7" ht="20.100000000000001" customHeight="1" x14ac:dyDescent="0.3">
      <c r="B3" s="2" t="s">
        <v>7</v>
      </c>
      <c r="C3" s="2">
        <v>98</v>
      </c>
      <c r="D3" s="2">
        <v>95</v>
      </c>
      <c r="E3" s="2">
        <v>91</v>
      </c>
      <c r="F3" s="3">
        <f t="shared" ref="F3:F9" si="0">AVERAGE(C3:E3)</f>
        <v>94.666666666666671</v>
      </c>
      <c r="G3" s="2" t="str">
        <f t="shared" ref="G3:G9" si="1">IF(F3&gt;=80,"합격","탈락")</f>
        <v>합격</v>
      </c>
    </row>
    <row r="4" spans="2:7" ht="20.100000000000001" customHeight="1" x14ac:dyDescent="0.3">
      <c r="B4" s="2" t="s">
        <v>6</v>
      </c>
      <c r="C4" s="2">
        <v>88</v>
      </c>
      <c r="D4" s="2">
        <v>75</v>
      </c>
      <c r="E4" s="2">
        <v>73</v>
      </c>
      <c r="F4" s="3">
        <f t="shared" si="0"/>
        <v>78.666666666666671</v>
      </c>
      <c r="G4" s="2" t="str">
        <f t="shared" si="1"/>
        <v>탈락</v>
      </c>
    </row>
    <row r="5" spans="2:7" ht="20.100000000000001" customHeight="1" x14ac:dyDescent="0.3">
      <c r="B5" s="2" t="s">
        <v>8</v>
      </c>
      <c r="C5" s="2">
        <v>75</v>
      </c>
      <c r="D5" s="2">
        <v>66</v>
      </c>
      <c r="E5" s="2">
        <v>80</v>
      </c>
      <c r="F5" s="3">
        <f t="shared" si="0"/>
        <v>73.666666666666671</v>
      </c>
      <c r="G5" s="2" t="str">
        <f t="shared" si="1"/>
        <v>탈락</v>
      </c>
    </row>
    <row r="6" spans="2:7" ht="20.100000000000001" customHeight="1" x14ac:dyDescent="0.3">
      <c r="B6" s="2" t="s">
        <v>9</v>
      </c>
      <c r="C6" s="2">
        <v>85</v>
      </c>
      <c r="D6" s="2">
        <v>97</v>
      </c>
      <c r="E6" s="2">
        <v>85</v>
      </c>
      <c r="F6" s="3">
        <f t="shared" si="0"/>
        <v>89</v>
      </c>
      <c r="G6" s="2" t="str">
        <f t="shared" si="1"/>
        <v>합격</v>
      </c>
    </row>
    <row r="7" spans="2:7" ht="20.100000000000001" customHeight="1" x14ac:dyDescent="0.3">
      <c r="B7" s="2" t="s">
        <v>10</v>
      </c>
      <c r="C7" s="2">
        <v>76</v>
      </c>
      <c r="D7" s="2">
        <v>83</v>
      </c>
      <c r="E7" s="2">
        <v>72</v>
      </c>
      <c r="F7" s="3">
        <f t="shared" si="0"/>
        <v>77</v>
      </c>
      <c r="G7" s="2" t="str">
        <f t="shared" si="1"/>
        <v>탈락</v>
      </c>
    </row>
    <row r="8" spans="2:7" ht="20.100000000000001" customHeight="1" x14ac:dyDescent="0.3">
      <c r="B8" s="2" t="s">
        <v>11</v>
      </c>
      <c r="C8" s="2">
        <v>98</v>
      </c>
      <c r="D8" s="2">
        <v>95</v>
      </c>
      <c r="E8" s="2">
        <v>91</v>
      </c>
      <c r="F8" s="3">
        <f t="shared" si="0"/>
        <v>94.666666666666671</v>
      </c>
      <c r="G8" s="2" t="str">
        <f t="shared" si="1"/>
        <v>합격</v>
      </c>
    </row>
    <row r="9" spans="2:7" ht="20.100000000000001" customHeight="1" x14ac:dyDescent="0.3">
      <c r="B9" s="2" t="s">
        <v>12</v>
      </c>
      <c r="C9" s="2">
        <v>82</v>
      </c>
      <c r="D9" s="2">
        <v>65</v>
      </c>
      <c r="E9" s="2">
        <v>76</v>
      </c>
      <c r="F9" s="3">
        <f t="shared" si="0"/>
        <v>74.333333333333329</v>
      </c>
      <c r="G9" s="2" t="str">
        <f t="shared" si="1"/>
        <v>탈락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C9"/>
  <sheetViews>
    <sheetView workbookViewId="0">
      <selection activeCell="C4" sqref="C4"/>
    </sheetView>
  </sheetViews>
  <sheetFormatPr defaultRowHeight="20.100000000000001" customHeight="1" x14ac:dyDescent="0.3"/>
  <cols>
    <col min="1" max="1" width="3.625" customWidth="1"/>
    <col min="3" max="3" width="40.625" customWidth="1"/>
  </cols>
  <sheetData>
    <row r="2" spans="2:3" ht="20.100000000000001" customHeight="1" x14ac:dyDescent="0.3">
      <c r="B2" s="1" t="s">
        <v>0</v>
      </c>
      <c r="C2" s="5" t="s">
        <v>13</v>
      </c>
    </row>
    <row r="3" spans="2:3" ht="20.100000000000001" customHeight="1" x14ac:dyDescent="0.3">
      <c r="B3" s="2" t="s">
        <v>7</v>
      </c>
      <c r="C3" s="4" t="s">
        <v>18</v>
      </c>
    </row>
    <row r="4" spans="2:3" ht="20.100000000000001" customHeight="1" x14ac:dyDescent="0.3">
      <c r="B4" s="2" t="s">
        <v>6</v>
      </c>
      <c r="C4" s="4" t="s">
        <v>16</v>
      </c>
    </row>
    <row r="5" spans="2:3" ht="20.100000000000001" customHeight="1" x14ac:dyDescent="0.3">
      <c r="B5" s="2" t="s">
        <v>8</v>
      </c>
      <c r="C5" s="4" t="s">
        <v>17</v>
      </c>
    </row>
    <row r="6" spans="2:3" ht="20.100000000000001" customHeight="1" x14ac:dyDescent="0.3">
      <c r="B6" s="2" t="s">
        <v>9</v>
      </c>
      <c r="C6" s="4" t="s">
        <v>15</v>
      </c>
    </row>
    <row r="7" spans="2:3" ht="20.100000000000001" customHeight="1" x14ac:dyDescent="0.3">
      <c r="B7" s="2" t="s">
        <v>10</v>
      </c>
      <c r="C7" s="4" t="s">
        <v>19</v>
      </c>
    </row>
    <row r="8" spans="2:3" ht="20.100000000000001" customHeight="1" x14ac:dyDescent="0.3">
      <c r="B8" s="2" t="s">
        <v>11</v>
      </c>
      <c r="C8" s="4" t="s">
        <v>14</v>
      </c>
    </row>
    <row r="9" spans="2:3" ht="20.100000000000001" customHeight="1" x14ac:dyDescent="0.3">
      <c r="B9" s="2" t="s">
        <v>12</v>
      </c>
      <c r="C9" s="4" t="s">
        <v>20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D2"/>
  <sheetViews>
    <sheetView workbookViewId="0">
      <selection activeCell="D2" sqref="D2"/>
    </sheetView>
  </sheetViews>
  <sheetFormatPr defaultRowHeight="20.100000000000001" customHeight="1" x14ac:dyDescent="0.3"/>
  <cols>
    <col min="1" max="1" width="3.625" customWidth="1"/>
    <col min="2" max="2" width="17" customWidth="1"/>
    <col min="4" max="4" width="17" customWidth="1"/>
  </cols>
  <sheetData>
    <row r="2" spans="2:4" ht="30" customHeight="1" x14ac:dyDescent="0.3">
      <c r="B2" s="7" t="s">
        <v>21</v>
      </c>
      <c r="C2" s="6" t="s">
        <v>22</v>
      </c>
      <c r="D2" s="8" t="s">
        <v>23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I8"/>
  <sheetViews>
    <sheetView workbookViewId="0">
      <selection activeCell="B2" sqref="B2"/>
    </sheetView>
  </sheetViews>
  <sheetFormatPr defaultRowHeight="20.100000000000001" customHeight="1" x14ac:dyDescent="0.3"/>
  <cols>
    <col min="1" max="1" width="3.625" customWidth="1"/>
    <col min="2" max="9" width="4.875" customWidth="1"/>
  </cols>
  <sheetData>
    <row r="2" spans="2:9" ht="20.100000000000001" customHeight="1" x14ac:dyDescent="0.3">
      <c r="B2" s="10">
        <v>1</v>
      </c>
      <c r="C2" s="10">
        <v>2</v>
      </c>
      <c r="D2" s="10">
        <v>3</v>
      </c>
      <c r="E2" s="10">
        <v>4</v>
      </c>
      <c r="F2" s="10">
        <v>5</v>
      </c>
      <c r="G2" s="10">
        <v>6</v>
      </c>
      <c r="H2" s="10">
        <v>7</v>
      </c>
      <c r="I2" s="10">
        <v>8</v>
      </c>
    </row>
    <row r="3" spans="2:9" ht="20.100000000000001" customHeight="1" x14ac:dyDescent="0.3">
      <c r="B3" s="10">
        <v>9</v>
      </c>
      <c r="C3" s="10">
        <v>10</v>
      </c>
      <c r="D3" s="10">
        <v>11</v>
      </c>
      <c r="E3" s="10">
        <v>12</v>
      </c>
      <c r="F3" s="10">
        <v>13</v>
      </c>
      <c r="G3" s="10">
        <v>14</v>
      </c>
      <c r="H3" s="10">
        <v>15</v>
      </c>
      <c r="I3" s="10">
        <v>16</v>
      </c>
    </row>
    <row r="4" spans="2:9" ht="20.100000000000001" customHeight="1" x14ac:dyDescent="0.3">
      <c r="B4" s="10">
        <v>17</v>
      </c>
      <c r="C4" s="10">
        <v>18</v>
      </c>
      <c r="D4" s="10">
        <v>19</v>
      </c>
      <c r="E4" s="10">
        <v>20</v>
      </c>
      <c r="F4" s="10">
        <v>21</v>
      </c>
      <c r="G4" s="10">
        <v>22</v>
      </c>
      <c r="H4" s="10">
        <v>23</v>
      </c>
      <c r="I4" s="10">
        <v>24</v>
      </c>
    </row>
    <row r="5" spans="2:9" ht="20.100000000000001" customHeight="1" x14ac:dyDescent="0.3">
      <c r="B5" s="10">
        <v>25</v>
      </c>
      <c r="C5" s="10">
        <v>26</v>
      </c>
      <c r="D5" s="10">
        <v>27</v>
      </c>
      <c r="E5" s="10">
        <v>28</v>
      </c>
      <c r="F5" s="10">
        <v>29</v>
      </c>
      <c r="G5" s="10">
        <v>30</v>
      </c>
      <c r="H5" s="10">
        <v>31</v>
      </c>
      <c r="I5" s="10">
        <v>32</v>
      </c>
    </row>
    <row r="6" spans="2:9" ht="20.100000000000001" customHeight="1" x14ac:dyDescent="0.3">
      <c r="B6" s="10">
        <v>33</v>
      </c>
      <c r="C6" s="10">
        <v>34</v>
      </c>
      <c r="D6" s="10">
        <v>35</v>
      </c>
      <c r="E6" s="10">
        <v>36</v>
      </c>
      <c r="F6" s="10">
        <v>37</v>
      </c>
      <c r="G6" s="10">
        <v>38</v>
      </c>
      <c r="H6" s="10">
        <v>39</v>
      </c>
      <c r="I6" s="10">
        <v>40</v>
      </c>
    </row>
    <row r="7" spans="2:9" ht="20.100000000000001" customHeight="1" x14ac:dyDescent="0.3">
      <c r="B7" s="10">
        <v>41</v>
      </c>
      <c r="C7" s="10">
        <v>42</v>
      </c>
      <c r="D7" s="10">
        <v>43</v>
      </c>
      <c r="E7" s="10">
        <v>44</v>
      </c>
      <c r="F7" s="10">
        <v>45</v>
      </c>
      <c r="G7" s="10">
        <v>46</v>
      </c>
      <c r="H7" s="10">
        <v>47</v>
      </c>
      <c r="I7" s="10">
        <v>48</v>
      </c>
    </row>
    <row r="8" spans="2:9" ht="20.100000000000001" customHeight="1" x14ac:dyDescent="0.3">
      <c r="B8" s="10">
        <v>49</v>
      </c>
      <c r="C8" s="10">
        <v>50</v>
      </c>
      <c r="D8" s="10">
        <v>51</v>
      </c>
      <c r="E8" s="10">
        <v>52</v>
      </c>
      <c r="F8" s="10">
        <v>53</v>
      </c>
      <c r="G8" s="10">
        <v>54</v>
      </c>
      <c r="H8" s="10">
        <v>55</v>
      </c>
      <c r="I8" s="10">
        <v>56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D4"/>
  <sheetViews>
    <sheetView workbookViewId="0">
      <selection activeCell="B2" sqref="B2"/>
    </sheetView>
  </sheetViews>
  <sheetFormatPr defaultRowHeight="20.100000000000001" customHeight="1" x14ac:dyDescent="0.3"/>
  <cols>
    <col min="1" max="1" width="3.625" customWidth="1"/>
    <col min="2" max="2" width="15.625" customWidth="1"/>
    <col min="3" max="3" width="6.5" customWidth="1"/>
    <col min="4" max="4" width="15.625" customWidth="1"/>
  </cols>
  <sheetData>
    <row r="2" spans="2:4" ht="20.100000000000001" customHeight="1" x14ac:dyDescent="0.3">
      <c r="B2" s="11" t="s">
        <v>24</v>
      </c>
      <c r="D2" s="9" t="s">
        <v>25</v>
      </c>
    </row>
    <row r="3" spans="2:4" ht="20.100000000000001" customHeight="1" x14ac:dyDescent="0.3">
      <c r="D3" s="9" t="s">
        <v>26</v>
      </c>
    </row>
    <row r="4" spans="2:4" ht="20.100000000000001" customHeight="1" x14ac:dyDescent="0.3">
      <c r="D4" s="9" t="s">
        <v>27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F7"/>
  <sheetViews>
    <sheetView workbookViewId="0">
      <selection activeCell="D17" sqref="D17"/>
    </sheetView>
  </sheetViews>
  <sheetFormatPr defaultRowHeight="16.5" customHeight="1" x14ac:dyDescent="0.3"/>
  <cols>
    <col min="1" max="1" width="3.625" customWidth="1"/>
    <col min="2" max="6" width="7.625" customWidth="1"/>
  </cols>
  <sheetData>
    <row r="1" spans="2:6" ht="16.5" customHeight="1" thickBot="1" x14ac:dyDescent="0.35"/>
    <row r="2" spans="2:6" ht="16.5" customHeight="1" thickTop="1" thickBot="1" x14ac:dyDescent="0.35">
      <c r="B2" s="14"/>
      <c r="C2" s="15"/>
      <c r="D2" s="15"/>
      <c r="E2" s="15"/>
      <c r="F2" s="16"/>
    </row>
    <row r="3" spans="2:6" ht="16.5" customHeight="1" thickTop="1" x14ac:dyDescent="0.3">
      <c r="B3" s="17"/>
      <c r="C3" s="13"/>
      <c r="D3" s="13"/>
      <c r="E3" s="13"/>
      <c r="F3" s="18"/>
    </row>
    <row r="4" spans="2:6" ht="16.5" customHeight="1" x14ac:dyDescent="0.3">
      <c r="B4" s="19"/>
      <c r="C4" s="12"/>
      <c r="D4" s="12"/>
      <c r="E4" s="12"/>
      <c r="F4" s="20"/>
    </row>
    <row r="5" spans="2:6" ht="16.5" customHeight="1" x14ac:dyDescent="0.3">
      <c r="B5" s="19"/>
      <c r="C5" s="12"/>
      <c r="D5" s="12"/>
      <c r="E5" s="12"/>
      <c r="F5" s="20"/>
    </row>
    <row r="6" spans="2:6" ht="16.5" customHeight="1" thickBot="1" x14ac:dyDescent="0.35">
      <c r="B6" s="21"/>
      <c r="C6" s="22"/>
      <c r="D6" s="22"/>
      <c r="E6" s="22"/>
      <c r="F6" s="23"/>
    </row>
    <row r="7" spans="2:6" ht="16.5" customHeight="1" thickTop="1" x14ac:dyDescent="0.3"/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2:F9"/>
  <sheetViews>
    <sheetView workbookViewId="0">
      <selection activeCell="B2" sqref="B2:F9"/>
    </sheetView>
  </sheetViews>
  <sheetFormatPr defaultRowHeight="16.5" customHeight="1" x14ac:dyDescent="0.3"/>
  <cols>
    <col min="1" max="1" width="3.625" customWidth="1"/>
    <col min="3" max="3" width="11.125" bestFit="1" customWidth="1"/>
    <col min="4" max="5" width="11" customWidth="1"/>
  </cols>
  <sheetData>
    <row r="2" spans="2:6" ht="16.5" customHeight="1" x14ac:dyDescent="0.3">
      <c r="B2" s="1" t="s">
        <v>0</v>
      </c>
      <c r="C2" s="1" t="s">
        <v>30</v>
      </c>
      <c r="D2" s="1" t="s">
        <v>28</v>
      </c>
      <c r="E2" s="1" t="s">
        <v>29</v>
      </c>
      <c r="F2" s="1" t="s">
        <v>31</v>
      </c>
    </row>
    <row r="3" spans="2:6" ht="16.5" customHeight="1" x14ac:dyDescent="0.3">
      <c r="B3" s="24" t="s">
        <v>7</v>
      </c>
      <c r="C3" s="25">
        <v>31364</v>
      </c>
      <c r="D3" s="26">
        <v>6376702</v>
      </c>
      <c r="E3" s="26">
        <v>5360454</v>
      </c>
      <c r="F3" s="27">
        <f>(E3-D3)/D3</f>
        <v>-0.15936890260827619</v>
      </c>
    </row>
    <row r="4" spans="2:6" ht="16.5" customHeight="1" x14ac:dyDescent="0.3">
      <c r="B4" s="24" t="s">
        <v>6</v>
      </c>
      <c r="C4" s="25">
        <v>31642</v>
      </c>
      <c r="D4" s="26">
        <v>5758355</v>
      </c>
      <c r="E4" s="26">
        <v>6963761</v>
      </c>
      <c r="F4" s="27">
        <f t="shared" ref="F4:F9" si="0">(E4-D4)/D4</f>
        <v>0.20933165808638057</v>
      </c>
    </row>
    <row r="5" spans="2:6" ht="16.5" customHeight="1" x14ac:dyDescent="0.3">
      <c r="B5" s="24" t="s">
        <v>8</v>
      </c>
      <c r="C5" s="25">
        <v>33128</v>
      </c>
      <c r="D5" s="26">
        <v>7024431</v>
      </c>
      <c r="E5" s="26">
        <v>6959729</v>
      </c>
      <c r="F5" s="27">
        <f t="shared" si="0"/>
        <v>-9.2109951681495633E-3</v>
      </c>
    </row>
    <row r="6" spans="2:6" ht="16.5" customHeight="1" x14ac:dyDescent="0.3">
      <c r="B6" s="24" t="s">
        <v>9</v>
      </c>
      <c r="C6" s="25">
        <v>30234</v>
      </c>
      <c r="D6" s="26">
        <v>4091666</v>
      </c>
      <c r="E6" s="26">
        <v>6420096</v>
      </c>
      <c r="F6" s="27">
        <f t="shared" si="0"/>
        <v>0.56906648783160696</v>
      </c>
    </row>
    <row r="7" spans="2:6" ht="16.5" customHeight="1" x14ac:dyDescent="0.3">
      <c r="B7" s="24" t="s">
        <v>10</v>
      </c>
      <c r="C7" s="25">
        <v>33136</v>
      </c>
      <c r="D7" s="26">
        <v>6102122</v>
      </c>
      <c r="E7" s="26">
        <v>563461</v>
      </c>
      <c r="F7" s="27">
        <f t="shared" si="0"/>
        <v>-0.90766146596216857</v>
      </c>
    </row>
    <row r="8" spans="2:6" ht="16.5" customHeight="1" x14ac:dyDescent="0.3">
      <c r="B8" s="24" t="s">
        <v>11</v>
      </c>
      <c r="C8" s="25">
        <v>32056</v>
      </c>
      <c r="D8" s="26">
        <v>5412006</v>
      </c>
      <c r="E8" s="26">
        <v>4919059</v>
      </c>
      <c r="F8" s="27">
        <f t="shared" si="0"/>
        <v>-9.1083971451620713E-2</v>
      </c>
    </row>
    <row r="9" spans="2:6" ht="16.5" customHeight="1" x14ac:dyDescent="0.3">
      <c r="B9" s="24" t="s">
        <v>12</v>
      </c>
      <c r="C9" s="25">
        <v>31833</v>
      </c>
      <c r="D9" s="26">
        <v>4978130</v>
      </c>
      <c r="E9" s="26">
        <v>1871069</v>
      </c>
      <c r="F9" s="27">
        <f t="shared" si="0"/>
        <v>-0.624142197973938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2:C4"/>
  <sheetViews>
    <sheetView workbookViewId="0">
      <selection activeCell="B2" sqref="B2"/>
    </sheetView>
  </sheetViews>
  <sheetFormatPr defaultRowHeight="16.5" customHeight="1" x14ac:dyDescent="0.3"/>
  <cols>
    <col min="1" max="1" width="3.625" customWidth="1"/>
    <col min="2" max="2" width="7.875" customWidth="1"/>
    <col min="3" max="3" width="36.375" customWidth="1"/>
  </cols>
  <sheetData>
    <row r="2" spans="2:3" ht="16.5" customHeight="1" x14ac:dyDescent="0.3">
      <c r="B2" s="29" t="s">
        <v>32</v>
      </c>
      <c r="C2" s="30" t="s">
        <v>33</v>
      </c>
    </row>
    <row r="3" spans="2:3" ht="16.5" customHeight="1" x14ac:dyDescent="0.3">
      <c r="B3" s="30" t="s">
        <v>34</v>
      </c>
      <c r="C3" s="28"/>
    </row>
    <row r="4" spans="2:3" ht="129.75" customHeight="1" x14ac:dyDescent="0.3">
      <c r="B4" s="30" t="s">
        <v>36</v>
      </c>
      <c r="C4" s="30" t="s">
        <v>35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2:I11"/>
  <sheetViews>
    <sheetView workbookViewId="0">
      <selection activeCell="B2" sqref="B2:C2"/>
    </sheetView>
  </sheetViews>
  <sheetFormatPr defaultRowHeight="16.5" customHeight="1" x14ac:dyDescent="0.3"/>
  <cols>
    <col min="1" max="1" width="3.625" customWidth="1"/>
    <col min="4" max="4" width="4.375" customWidth="1"/>
    <col min="7" max="7" width="4.375" customWidth="1"/>
    <col min="10" max="10" width="6.25" customWidth="1"/>
  </cols>
  <sheetData>
    <row r="2" spans="2:9" ht="22.5" customHeight="1" x14ac:dyDescent="0.3">
      <c r="B2" s="61" t="s">
        <v>37</v>
      </c>
      <c r="C2" s="61"/>
      <c r="E2" s="61" t="s">
        <v>38</v>
      </c>
      <c r="F2" s="61"/>
      <c r="H2" s="61" t="s">
        <v>39</v>
      </c>
      <c r="I2" s="61"/>
    </row>
    <row r="3" spans="2:9" ht="7.5" customHeight="1" x14ac:dyDescent="0.3"/>
    <row r="4" spans="2:9" ht="16.5" customHeight="1" x14ac:dyDescent="0.3">
      <c r="B4" s="38" t="s">
        <v>46</v>
      </c>
      <c r="C4" s="38"/>
      <c r="E4" s="38" t="s">
        <v>40</v>
      </c>
      <c r="F4" s="38"/>
      <c r="H4" s="55" t="s">
        <v>45</v>
      </c>
      <c r="I4" s="56"/>
    </row>
    <row r="5" spans="2:9" ht="16.5" customHeight="1" x14ac:dyDescent="0.3">
      <c r="B5" s="38"/>
      <c r="C5" s="38"/>
      <c r="E5" s="38" t="s">
        <v>41</v>
      </c>
      <c r="F5" s="38"/>
      <c r="H5" s="57"/>
      <c r="I5" s="58"/>
    </row>
    <row r="6" spans="2:9" ht="16.5" customHeight="1" x14ac:dyDescent="0.3">
      <c r="B6" s="38"/>
      <c r="C6" s="38"/>
      <c r="E6" s="38" t="s">
        <v>42</v>
      </c>
      <c r="F6" s="38"/>
      <c r="H6" s="57"/>
      <c r="I6" s="58"/>
    </row>
    <row r="7" spans="2:9" ht="16.5" customHeight="1" x14ac:dyDescent="0.3">
      <c r="B7" s="38"/>
      <c r="C7" s="38"/>
      <c r="E7" s="38" t="s">
        <v>43</v>
      </c>
      <c r="F7" s="38"/>
      <c r="H7" s="57"/>
      <c r="I7" s="58"/>
    </row>
    <row r="8" spans="2:9" ht="16.5" customHeight="1" x14ac:dyDescent="0.3">
      <c r="B8" s="38"/>
      <c r="C8" s="38"/>
      <c r="E8" s="38" t="s">
        <v>44</v>
      </c>
      <c r="F8" s="38"/>
      <c r="H8" s="59"/>
      <c r="I8" s="60"/>
    </row>
    <row r="11" spans="2:9" ht="16.5" customHeight="1" x14ac:dyDescent="0.3">
      <c r="B11" s="37"/>
      <c r="C11" s="37"/>
    </row>
  </sheetData>
  <mergeCells count="4">
    <mergeCell ref="H4:I8"/>
    <mergeCell ref="H2:I2"/>
    <mergeCell ref="E2:F2"/>
    <mergeCell ref="B2:C2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2:E6"/>
  <sheetViews>
    <sheetView workbookViewId="0">
      <selection activeCell="B2" sqref="B2:C6"/>
    </sheetView>
  </sheetViews>
  <sheetFormatPr defaultRowHeight="16.5" customHeight="1" x14ac:dyDescent="0.3"/>
  <cols>
    <col min="1" max="1" width="3.625" customWidth="1"/>
  </cols>
  <sheetData>
    <row r="2" spans="2:5" ht="16.5" customHeight="1" x14ac:dyDescent="0.3">
      <c r="B2" s="62" t="s">
        <v>47</v>
      </c>
      <c r="C2" s="63"/>
      <c r="E2" s="68" t="s">
        <v>47</v>
      </c>
    </row>
    <row r="3" spans="2:5" ht="16.5" customHeight="1" x14ac:dyDescent="0.3">
      <c r="B3" s="64"/>
      <c r="C3" s="65"/>
      <c r="E3" s="69"/>
    </row>
    <row r="4" spans="2:5" ht="16.5" customHeight="1" x14ac:dyDescent="0.3">
      <c r="B4" s="64"/>
      <c r="C4" s="65"/>
      <c r="E4" s="69"/>
    </row>
    <row r="5" spans="2:5" ht="16.5" customHeight="1" x14ac:dyDescent="0.3">
      <c r="B5" s="64"/>
      <c r="C5" s="65"/>
      <c r="E5" s="69"/>
    </row>
    <row r="6" spans="2:5" ht="16.5" customHeight="1" x14ac:dyDescent="0.3">
      <c r="B6" s="66"/>
      <c r="C6" s="67"/>
      <c r="E6" s="70"/>
    </row>
  </sheetData>
  <mergeCells count="2">
    <mergeCell ref="B2:C6"/>
    <mergeCell ref="E2:E6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1:F6"/>
  <sheetViews>
    <sheetView workbookViewId="0">
      <selection activeCell="B31" sqref="B31"/>
    </sheetView>
  </sheetViews>
  <sheetFormatPr defaultRowHeight="16.5" customHeight="1" x14ac:dyDescent="0.3"/>
  <cols>
    <col min="1" max="1" width="3.625" customWidth="1"/>
    <col min="2" max="2" width="13.875" customWidth="1"/>
    <col min="3" max="3" width="2" customWidth="1"/>
    <col min="4" max="4" width="13.875" customWidth="1"/>
    <col min="5" max="5" width="2" customWidth="1"/>
    <col min="6" max="6" width="13.875" customWidth="1"/>
    <col min="7" max="7" width="9.25" customWidth="1"/>
  </cols>
  <sheetData>
    <row r="1" spans="2:6" ht="16.5" customHeight="1" thickBot="1" x14ac:dyDescent="0.35"/>
    <row r="2" spans="2:6" ht="27" customHeight="1" thickBot="1" x14ac:dyDescent="0.35">
      <c r="B2" s="31">
        <v>7850</v>
      </c>
      <c r="D2" s="31">
        <v>7850</v>
      </c>
      <c r="F2" s="31">
        <v>7850</v>
      </c>
    </row>
    <row r="3" spans="2:6" ht="16.5" customHeight="1" thickBot="1" x14ac:dyDescent="0.35"/>
    <row r="4" spans="2:6" ht="27" customHeight="1" thickBot="1" x14ac:dyDescent="0.35">
      <c r="B4" s="31">
        <v>7850</v>
      </c>
      <c r="D4" s="31">
        <v>7850</v>
      </c>
      <c r="F4" s="31">
        <v>7850</v>
      </c>
    </row>
    <row r="5" spans="2:6" ht="16.5" customHeight="1" thickBot="1" x14ac:dyDescent="0.35"/>
    <row r="6" spans="2:6" ht="27" customHeight="1" thickBot="1" x14ac:dyDescent="0.35">
      <c r="B6" s="31">
        <v>7850</v>
      </c>
      <c r="D6" s="31">
        <v>7850</v>
      </c>
      <c r="F6" s="31">
        <v>7850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2:F9"/>
  <sheetViews>
    <sheetView workbookViewId="0">
      <selection activeCell="B2" sqref="B2:F9"/>
    </sheetView>
  </sheetViews>
  <sheetFormatPr defaultRowHeight="16.5" customHeight="1" x14ac:dyDescent="0.3"/>
  <cols>
    <col min="1" max="1" width="3.625" customWidth="1"/>
    <col min="3" max="5" width="12.125" customWidth="1"/>
  </cols>
  <sheetData>
    <row r="2" spans="2:6" ht="16.5" customHeight="1" x14ac:dyDescent="0.3">
      <c r="B2" s="36" t="s">
        <v>0</v>
      </c>
      <c r="C2" s="36" t="s">
        <v>30</v>
      </c>
      <c r="D2" s="36" t="s">
        <v>28</v>
      </c>
      <c r="E2" s="36" t="s">
        <v>29</v>
      </c>
      <c r="F2" s="36" t="s">
        <v>31</v>
      </c>
    </row>
    <row r="3" spans="2:6" ht="16.5" customHeight="1" x14ac:dyDescent="0.3">
      <c r="B3" s="32" t="s">
        <v>7</v>
      </c>
      <c r="C3" s="33">
        <v>31364</v>
      </c>
      <c r="D3" s="34">
        <v>6376702</v>
      </c>
      <c r="E3" s="34">
        <v>5360454</v>
      </c>
      <c r="F3" s="35">
        <f>(E3-D3)/D3</f>
        <v>-0.15936890260827619</v>
      </c>
    </row>
    <row r="4" spans="2:6" ht="16.5" customHeight="1" x14ac:dyDescent="0.3">
      <c r="B4" s="32" t="s">
        <v>6</v>
      </c>
      <c r="C4" s="33">
        <v>31642</v>
      </c>
      <c r="D4" s="34">
        <v>5758355</v>
      </c>
      <c r="E4" s="34">
        <v>6963761</v>
      </c>
      <c r="F4" s="35">
        <f t="shared" ref="F4:F9" si="0">(E4-D4)/D4</f>
        <v>0.20933165808638057</v>
      </c>
    </row>
    <row r="5" spans="2:6" ht="16.5" customHeight="1" x14ac:dyDescent="0.3">
      <c r="B5" s="32" t="s">
        <v>8</v>
      </c>
      <c r="C5" s="33">
        <v>33128</v>
      </c>
      <c r="D5" s="34">
        <v>7024431</v>
      </c>
      <c r="E5" s="34">
        <v>6959729</v>
      </c>
      <c r="F5" s="35">
        <f t="shared" si="0"/>
        <v>-9.2109951681495633E-3</v>
      </c>
    </row>
    <row r="6" spans="2:6" ht="16.5" customHeight="1" x14ac:dyDescent="0.3">
      <c r="B6" s="32" t="s">
        <v>9</v>
      </c>
      <c r="C6" s="33">
        <v>30234</v>
      </c>
      <c r="D6" s="34">
        <v>4091666</v>
      </c>
      <c r="E6" s="34">
        <v>6420096</v>
      </c>
      <c r="F6" s="35">
        <f t="shared" si="0"/>
        <v>0.56906648783160696</v>
      </c>
    </row>
    <row r="7" spans="2:6" ht="16.5" customHeight="1" x14ac:dyDescent="0.3">
      <c r="B7" s="32" t="s">
        <v>10</v>
      </c>
      <c r="C7" s="33">
        <v>33136</v>
      </c>
      <c r="D7" s="34">
        <v>6102122</v>
      </c>
      <c r="E7" s="34">
        <v>563461</v>
      </c>
      <c r="F7" s="35">
        <f t="shared" si="0"/>
        <v>-0.90766146596216857</v>
      </c>
    </row>
    <row r="8" spans="2:6" ht="16.5" customHeight="1" x14ac:dyDescent="0.3">
      <c r="B8" s="32" t="s">
        <v>11</v>
      </c>
      <c r="C8" s="33">
        <v>32056</v>
      </c>
      <c r="D8" s="34">
        <v>5412006</v>
      </c>
      <c r="E8" s="34">
        <v>4919059</v>
      </c>
      <c r="F8" s="35">
        <f t="shared" si="0"/>
        <v>-9.1083971451620713E-2</v>
      </c>
    </row>
    <row r="9" spans="2:6" ht="16.5" customHeight="1" x14ac:dyDescent="0.3">
      <c r="B9" s="32" t="s">
        <v>12</v>
      </c>
      <c r="C9" s="33">
        <v>31833</v>
      </c>
      <c r="D9" s="34">
        <v>4978130</v>
      </c>
      <c r="E9" s="34">
        <v>5871069</v>
      </c>
      <c r="F9" s="35">
        <f t="shared" si="0"/>
        <v>0.17937237476723186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B2:E7"/>
  <sheetViews>
    <sheetView workbookViewId="0">
      <selection activeCell="B2" sqref="B2"/>
    </sheetView>
  </sheetViews>
  <sheetFormatPr defaultRowHeight="16.5" customHeight="1" x14ac:dyDescent="0.3"/>
  <cols>
    <col min="1" max="1" width="3.625" customWidth="1"/>
  </cols>
  <sheetData>
    <row r="2" spans="2:5" ht="16.5" customHeight="1" x14ac:dyDescent="0.3">
      <c r="B2" s="39">
        <f t="shared" ref="B2:E7" ca="1" si="0">RANDBETWEEN(1,100)</f>
        <v>1</v>
      </c>
      <c r="C2" s="39">
        <f t="shared" ca="1" si="0"/>
        <v>8</v>
      </c>
      <c r="D2" s="39">
        <f t="shared" ca="1" si="0"/>
        <v>81</v>
      </c>
      <c r="E2" s="39">
        <f t="shared" ca="1" si="0"/>
        <v>37</v>
      </c>
    </row>
    <row r="3" spans="2:5" ht="16.5" customHeight="1" x14ac:dyDescent="0.3">
      <c r="B3" s="39">
        <f t="shared" ca="1" si="0"/>
        <v>74</v>
      </c>
      <c r="C3" s="39">
        <f t="shared" ca="1" si="0"/>
        <v>54</v>
      </c>
      <c r="D3" s="39">
        <f t="shared" ca="1" si="0"/>
        <v>25</v>
      </c>
      <c r="E3" s="39">
        <f t="shared" ca="1" si="0"/>
        <v>12</v>
      </c>
    </row>
    <row r="4" spans="2:5" ht="16.5" customHeight="1" x14ac:dyDescent="0.3">
      <c r="B4" s="39">
        <f t="shared" ca="1" si="0"/>
        <v>83</v>
      </c>
      <c r="C4" s="39">
        <f t="shared" ca="1" si="0"/>
        <v>70</v>
      </c>
      <c r="D4" s="39">
        <f t="shared" ca="1" si="0"/>
        <v>18</v>
      </c>
      <c r="E4" s="39">
        <f t="shared" ca="1" si="0"/>
        <v>10</v>
      </c>
    </row>
    <row r="5" spans="2:5" ht="16.5" customHeight="1" x14ac:dyDescent="0.3">
      <c r="B5" s="39">
        <f t="shared" ca="1" si="0"/>
        <v>2</v>
      </c>
      <c r="C5" s="39">
        <f t="shared" ca="1" si="0"/>
        <v>70</v>
      </c>
      <c r="D5" s="39">
        <f t="shared" ca="1" si="0"/>
        <v>91</v>
      </c>
      <c r="E5" s="39">
        <f t="shared" ca="1" si="0"/>
        <v>79</v>
      </c>
    </row>
    <row r="6" spans="2:5" ht="16.5" customHeight="1" x14ac:dyDescent="0.3">
      <c r="B6" s="39">
        <f t="shared" ca="1" si="0"/>
        <v>70</v>
      </c>
      <c r="C6" s="39">
        <f t="shared" ca="1" si="0"/>
        <v>14</v>
      </c>
      <c r="D6" s="39">
        <f t="shared" ca="1" si="0"/>
        <v>68</v>
      </c>
      <c r="E6" s="39">
        <f t="shared" ca="1" si="0"/>
        <v>61</v>
      </c>
    </row>
    <row r="7" spans="2:5" ht="16.5" customHeight="1" x14ac:dyDescent="0.3">
      <c r="B7" s="39">
        <f t="shared" ca="1" si="0"/>
        <v>60</v>
      </c>
      <c r="C7" s="39">
        <f t="shared" ca="1" si="0"/>
        <v>12</v>
      </c>
      <c r="D7" s="39">
        <f t="shared" ca="1" si="0"/>
        <v>77</v>
      </c>
      <c r="E7" s="39">
        <f t="shared" ca="1" si="0"/>
        <v>40</v>
      </c>
    </row>
  </sheetData>
  <phoneticPr fontId="1" type="noConversion"/>
  <conditionalFormatting sqref="B2:E7">
    <cfRule type="duplicateValues" dxfId="10" priority="1" stopIfTrue="1"/>
  </conditionalFormatting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B2:E9"/>
  <sheetViews>
    <sheetView workbookViewId="0">
      <selection activeCell="B2" sqref="B2"/>
    </sheetView>
  </sheetViews>
  <sheetFormatPr defaultRowHeight="16.5" customHeight="1" x14ac:dyDescent="0.3"/>
  <cols>
    <col min="1" max="1" width="3.625" customWidth="1"/>
    <col min="3" max="4" width="10.5" customWidth="1"/>
    <col min="5" max="5" width="14.25" customWidth="1"/>
  </cols>
  <sheetData>
    <row r="2" spans="2:5" ht="16.5" customHeight="1" x14ac:dyDescent="0.3">
      <c r="B2" s="36" t="s">
        <v>0</v>
      </c>
      <c r="C2" s="36" t="s">
        <v>28</v>
      </c>
      <c r="D2" s="36" t="s">
        <v>29</v>
      </c>
      <c r="E2" s="36" t="s">
        <v>31</v>
      </c>
    </row>
    <row r="3" spans="2:5" ht="16.5" customHeight="1" x14ac:dyDescent="0.3">
      <c r="B3" s="32" t="s">
        <v>7</v>
      </c>
      <c r="C3" s="34">
        <v>6376702</v>
      </c>
      <c r="D3" s="34">
        <v>5360454</v>
      </c>
      <c r="E3" s="35">
        <f>(D3-C3)/C3</f>
        <v>-0.15936890260827619</v>
      </c>
    </row>
    <row r="4" spans="2:5" ht="16.5" customHeight="1" x14ac:dyDescent="0.3">
      <c r="B4" s="32" t="s">
        <v>6</v>
      </c>
      <c r="C4" s="34">
        <v>5758355</v>
      </c>
      <c r="D4" s="34">
        <v>6963761</v>
      </c>
      <c r="E4" s="35">
        <f t="shared" ref="E4:E9" si="0">(D4-C4)/C4</f>
        <v>0.20933165808638057</v>
      </c>
    </row>
    <row r="5" spans="2:5" ht="16.5" customHeight="1" x14ac:dyDescent="0.3">
      <c r="B5" s="32" t="s">
        <v>8</v>
      </c>
      <c r="C5" s="34">
        <v>7024431</v>
      </c>
      <c r="D5" s="34">
        <v>6959729</v>
      </c>
      <c r="E5" s="35">
        <f t="shared" si="0"/>
        <v>-9.2109951681495633E-3</v>
      </c>
    </row>
    <row r="6" spans="2:5" ht="16.5" customHeight="1" x14ac:dyDescent="0.3">
      <c r="B6" s="32" t="s">
        <v>9</v>
      </c>
      <c r="C6" s="34">
        <v>4091666</v>
      </c>
      <c r="D6" s="34">
        <v>6420096</v>
      </c>
      <c r="E6" s="35">
        <f t="shared" si="0"/>
        <v>0.56906648783160696</v>
      </c>
    </row>
    <row r="7" spans="2:5" ht="16.5" customHeight="1" x14ac:dyDescent="0.3">
      <c r="B7" s="32" t="s">
        <v>10</v>
      </c>
      <c r="C7" s="34">
        <v>6102122</v>
      </c>
      <c r="D7" s="34">
        <v>563461</v>
      </c>
      <c r="E7" s="35">
        <f t="shared" si="0"/>
        <v>-0.90766146596216857</v>
      </c>
    </row>
    <row r="8" spans="2:5" ht="16.5" customHeight="1" x14ac:dyDescent="0.3">
      <c r="B8" s="32" t="s">
        <v>11</v>
      </c>
      <c r="C8" s="34">
        <v>5412006</v>
      </c>
      <c r="D8" s="34">
        <v>4919059</v>
      </c>
      <c r="E8" s="35">
        <f t="shared" si="0"/>
        <v>-9.1083971451620713E-2</v>
      </c>
    </row>
    <row r="9" spans="2:5" ht="16.5" customHeight="1" x14ac:dyDescent="0.3">
      <c r="B9" s="32" t="s">
        <v>12</v>
      </c>
      <c r="C9" s="34">
        <v>4978130</v>
      </c>
      <c r="D9" s="34">
        <v>5871069</v>
      </c>
      <c r="E9" s="35">
        <f t="shared" si="0"/>
        <v>0.17937237476723186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B2:E9"/>
  <sheetViews>
    <sheetView workbookViewId="0">
      <selection activeCell="B2" sqref="B2"/>
    </sheetView>
  </sheetViews>
  <sheetFormatPr defaultRowHeight="16.5" customHeight="1" x14ac:dyDescent="0.3"/>
  <cols>
    <col min="1" max="1" width="3.625" customWidth="1"/>
    <col min="3" max="4" width="12.25" customWidth="1"/>
    <col min="5" max="5" width="10.875" customWidth="1"/>
  </cols>
  <sheetData>
    <row r="2" spans="2:5" ht="16.5" customHeight="1" x14ac:dyDescent="0.3">
      <c r="B2" s="50" t="s">
        <v>0</v>
      </c>
      <c r="C2" s="50" t="s">
        <v>28</v>
      </c>
      <c r="D2" s="50" t="s">
        <v>29</v>
      </c>
      <c r="E2" s="51" t="s">
        <v>31</v>
      </c>
    </row>
    <row r="3" spans="2:5" ht="16.5" customHeight="1" x14ac:dyDescent="0.3">
      <c r="B3" s="48" t="s">
        <v>7</v>
      </c>
      <c r="C3" s="40">
        <v>6376702</v>
      </c>
      <c r="D3" s="40">
        <v>5360454</v>
      </c>
      <c r="E3" s="49">
        <f>(D3-C3)/C3</f>
        <v>-0.15936890260827619</v>
      </c>
    </row>
    <row r="4" spans="2:5" ht="16.5" customHeight="1" x14ac:dyDescent="0.3">
      <c r="B4" s="48" t="s">
        <v>6</v>
      </c>
      <c r="C4" s="40">
        <v>5758355</v>
      </c>
      <c r="D4" s="40">
        <v>6963761</v>
      </c>
      <c r="E4" s="49">
        <f t="shared" ref="E4:E9" si="0">(D4-C4)/C4</f>
        <v>0.20933165808638057</v>
      </c>
    </row>
    <row r="5" spans="2:5" ht="16.5" customHeight="1" x14ac:dyDescent="0.3">
      <c r="B5" s="48" t="s">
        <v>8</v>
      </c>
      <c r="C5" s="40">
        <v>7024431</v>
      </c>
      <c r="D5" s="40">
        <v>6959729</v>
      </c>
      <c r="E5" s="49">
        <f t="shared" si="0"/>
        <v>-9.2109951681495633E-3</v>
      </c>
    </row>
    <row r="6" spans="2:5" ht="16.5" customHeight="1" x14ac:dyDescent="0.3">
      <c r="B6" s="48" t="s">
        <v>9</v>
      </c>
      <c r="C6" s="40">
        <v>4091666</v>
      </c>
      <c r="D6" s="40">
        <v>6420096</v>
      </c>
      <c r="E6" s="49">
        <f t="shared" si="0"/>
        <v>0.56906648783160696</v>
      </c>
    </row>
    <row r="7" spans="2:5" ht="16.5" customHeight="1" x14ac:dyDescent="0.3">
      <c r="B7" s="48" t="s">
        <v>10</v>
      </c>
      <c r="C7" s="40">
        <v>6102122</v>
      </c>
      <c r="D7" s="40">
        <v>563461</v>
      </c>
      <c r="E7" s="49">
        <f t="shared" si="0"/>
        <v>-0.90766146596216857</v>
      </c>
    </row>
    <row r="8" spans="2:5" ht="16.5" customHeight="1" x14ac:dyDescent="0.3">
      <c r="B8" s="48" t="s">
        <v>11</v>
      </c>
      <c r="C8" s="40">
        <v>5412006</v>
      </c>
      <c r="D8" s="40">
        <v>4919059</v>
      </c>
      <c r="E8" s="49">
        <f t="shared" si="0"/>
        <v>-9.1083971451620713E-2</v>
      </c>
    </row>
    <row r="9" spans="2:5" ht="16.5" customHeight="1" x14ac:dyDescent="0.3">
      <c r="B9" s="52" t="s">
        <v>12</v>
      </c>
      <c r="C9" s="53">
        <v>4978130</v>
      </c>
      <c r="D9" s="53">
        <v>5871069</v>
      </c>
      <c r="E9" s="54">
        <f t="shared" si="0"/>
        <v>0.17937237476723186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B2:E10"/>
  <sheetViews>
    <sheetView workbookViewId="0">
      <selection activeCell="C8" sqref="C8"/>
    </sheetView>
  </sheetViews>
  <sheetFormatPr defaultRowHeight="16.5" customHeight="1" x14ac:dyDescent="0.3"/>
  <cols>
    <col min="1" max="1" width="3.625" customWidth="1"/>
    <col min="3" max="4" width="12.25" customWidth="1"/>
    <col min="5" max="5" width="10.875" customWidth="1"/>
  </cols>
  <sheetData>
    <row r="2" spans="2:5" ht="16.5" customHeight="1" x14ac:dyDescent="0.3">
      <c r="B2" s="43" t="s">
        <v>0</v>
      </c>
      <c r="C2" s="44" t="s">
        <v>28</v>
      </c>
      <c r="D2" s="44" t="s">
        <v>29</v>
      </c>
      <c r="E2" s="44" t="s">
        <v>31</v>
      </c>
    </row>
    <row r="3" spans="2:5" ht="16.5" customHeight="1" x14ac:dyDescent="0.3">
      <c r="B3" s="41" t="s">
        <v>7</v>
      </c>
      <c r="C3" s="40">
        <v>6376702</v>
      </c>
      <c r="D3" s="40">
        <v>5360454</v>
      </c>
      <c r="E3" s="42">
        <f>(D3-C3)/C3</f>
        <v>-0.15936890260827619</v>
      </c>
    </row>
    <row r="4" spans="2:5" ht="16.5" customHeight="1" x14ac:dyDescent="0.3">
      <c r="B4" s="41" t="s">
        <v>6</v>
      </c>
      <c r="C4" s="40">
        <v>5758355</v>
      </c>
      <c r="D4" s="40">
        <v>6963761</v>
      </c>
      <c r="E4" s="42">
        <f t="shared" ref="E4:E9" si="0">(D4-C4)/C4</f>
        <v>0.20933165808638057</v>
      </c>
    </row>
    <row r="5" spans="2:5" ht="16.5" customHeight="1" x14ac:dyDescent="0.3">
      <c r="B5" s="41" t="s">
        <v>8</v>
      </c>
      <c r="C5" s="40">
        <v>7024431</v>
      </c>
      <c r="D5" s="40">
        <v>6959729</v>
      </c>
      <c r="E5" s="42">
        <f t="shared" si="0"/>
        <v>-9.2109951681495633E-3</v>
      </c>
    </row>
    <row r="6" spans="2:5" ht="16.5" customHeight="1" x14ac:dyDescent="0.3">
      <c r="B6" s="41" t="s">
        <v>9</v>
      </c>
      <c r="C6" s="40">
        <v>4091666</v>
      </c>
      <c r="D6" s="40">
        <v>6420096</v>
      </c>
      <c r="E6" s="42">
        <f t="shared" si="0"/>
        <v>0.56906648783160696</v>
      </c>
    </row>
    <row r="7" spans="2:5" ht="16.5" customHeight="1" x14ac:dyDescent="0.3">
      <c r="B7" s="41" t="s">
        <v>10</v>
      </c>
      <c r="C7" s="40">
        <v>6102122</v>
      </c>
      <c r="D7" s="40">
        <v>563461</v>
      </c>
      <c r="E7" s="42">
        <f t="shared" si="0"/>
        <v>-0.90766146596216857</v>
      </c>
    </row>
    <row r="8" spans="2:5" ht="16.5" customHeight="1" x14ac:dyDescent="0.3">
      <c r="B8" s="41" t="s">
        <v>11</v>
      </c>
      <c r="C8" s="40">
        <v>5412006</v>
      </c>
      <c r="D8" s="40">
        <v>4919059</v>
      </c>
      <c r="E8" s="42">
        <f t="shared" si="0"/>
        <v>-9.1083971451620713E-2</v>
      </c>
    </row>
    <row r="9" spans="2:5" ht="16.5" customHeight="1" x14ac:dyDescent="0.3">
      <c r="B9" s="41" t="s">
        <v>12</v>
      </c>
      <c r="C9" s="40">
        <v>4978130</v>
      </c>
      <c r="D9" s="40">
        <v>5871069</v>
      </c>
      <c r="E9" s="42">
        <f t="shared" si="0"/>
        <v>0.17937237476723186</v>
      </c>
    </row>
    <row r="10" spans="2:5" ht="16.5" customHeight="1" x14ac:dyDescent="0.3">
      <c r="B10" s="45" t="s">
        <v>48</v>
      </c>
      <c r="C10" s="46">
        <f>SUBTOTAL(109,실적표_2[전년도실적])</f>
        <v>39743412</v>
      </c>
      <c r="D10" s="46">
        <f>SUBTOTAL(109,실적표_2[금년도실적])</f>
        <v>37057629</v>
      </c>
      <c r="E10" s="47"/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  <vt:lpstr>Sheet13</vt:lpstr>
      <vt:lpstr>Sheet14</vt:lpstr>
      <vt:lpstr>Sheet15</vt:lpstr>
      <vt:lpstr>Sheet16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Dodream</dc:creator>
  <cp:lastModifiedBy>Dodream</cp:lastModifiedBy>
  <dcterms:created xsi:type="dcterms:W3CDTF">2013-10-18T08:05:47Z</dcterms:created>
  <dcterms:modified xsi:type="dcterms:W3CDTF">2014-03-13T10:58:39Z</dcterms:modified>
</cp:coreProperties>
</file>