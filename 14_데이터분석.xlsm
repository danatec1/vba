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75" windowWidth="10755" windowHeight="7380" tabRatio="889"/>
  </bookViews>
  <sheets>
    <sheet name="Sheet1" sheetId="1" r:id="rId1"/>
    <sheet name="Sheet2" sheetId="6" r:id="rId2"/>
    <sheet name="Sheet3" sheetId="3" r:id="rId3"/>
    <sheet name="Sheet4" sheetId="4" r:id="rId4"/>
    <sheet name="Sheet5" sheetId="7" r:id="rId5"/>
    <sheet name="Sheet6" sheetId="8" r:id="rId6"/>
    <sheet name="Sheet7" sheetId="5" r:id="rId7"/>
    <sheet name="Sheet8" sheetId="12" r:id="rId8"/>
  </sheets>
  <definedNames>
    <definedName name="_xlnm._FilterDatabase" localSheetId="0" hidden="1">Sheet1!$B$2:$H$78</definedName>
    <definedName name="_xlnm._FilterDatabase" localSheetId="1" hidden="1">Sheet2!$B$6:$H$82</definedName>
    <definedName name="_xlnm._FilterDatabase" localSheetId="4" hidden="1">Sheet5!$B$2:$G$12</definedName>
    <definedName name="_xlnm._FilterDatabase" localSheetId="5" hidden="1">Sheet6!#REF!</definedName>
    <definedName name="_xlnm.Criteria" localSheetId="1">Sheet2!$B$2:$H$4</definedName>
    <definedName name="_xlnm.Extract" localSheetId="2">Sheet3!#REF!</definedName>
    <definedName name="_xlnm.Extract" localSheetId="3">Sheet4!$B$2:$E$2</definedName>
  </definedNames>
  <calcPr calcId="145621"/>
  <pivotCaches>
    <pivotCache cacheId="0" r:id="rId9"/>
  </pivotCaches>
</workbook>
</file>

<file path=xl/calcChain.xml><?xml version="1.0" encoding="utf-8"?>
<calcChain xmlns="http://schemas.openxmlformats.org/spreadsheetml/2006/main">
  <c r="H78" i="8" l="1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F6" i="7"/>
  <c r="F9" i="7"/>
  <c r="F8" i="7"/>
  <c r="F5" i="7"/>
  <c r="F4" i="7"/>
  <c r="F7" i="7"/>
  <c r="F12" i="7"/>
  <c r="F11" i="7"/>
  <c r="F3" i="7"/>
  <c r="F10" i="7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</calcChain>
</file>

<file path=xl/sharedStrings.xml><?xml version="1.0" encoding="utf-8"?>
<sst xmlns="http://schemas.openxmlformats.org/spreadsheetml/2006/main" count="836" uniqueCount="136">
  <si>
    <t>주문번호</t>
    <phoneticPr fontId="2" type="noConversion"/>
  </si>
  <si>
    <t>주문일자</t>
    <phoneticPr fontId="2" type="noConversion"/>
  </si>
  <si>
    <t>제품</t>
  </si>
  <si>
    <t>수량</t>
  </si>
  <si>
    <t>단가</t>
  </si>
  <si>
    <t>주문금액</t>
    <phoneticPr fontId="2" type="noConversion"/>
  </si>
  <si>
    <t>담당직원</t>
    <phoneticPr fontId="2" type="noConversion"/>
  </si>
  <si>
    <t>Do-001</t>
    <phoneticPr fontId="2" type="noConversion"/>
  </si>
  <si>
    <t>진미 트로피컬 캔디</t>
  </si>
  <si>
    <t>Park</t>
  </si>
  <si>
    <t>Do-002</t>
  </si>
  <si>
    <t>성보 야생 녹차</t>
  </si>
  <si>
    <t>Do-003</t>
  </si>
  <si>
    <t>Kim</t>
  </si>
  <si>
    <t>Do-004</t>
  </si>
  <si>
    <t>신한 초콜릿 소스</t>
  </si>
  <si>
    <t>Do-005</t>
  </si>
  <si>
    <t>Do-006</t>
  </si>
  <si>
    <t>대양 마말레이드</t>
  </si>
  <si>
    <t>Do-007</t>
  </si>
  <si>
    <t>태일 라이트 맥주</t>
  </si>
  <si>
    <t>Do-008</t>
  </si>
  <si>
    <t>대관령 특제 버터</t>
  </si>
  <si>
    <t>Do-009</t>
  </si>
  <si>
    <t>Lee</t>
  </si>
  <si>
    <t>Do-010</t>
  </si>
  <si>
    <t>한성 통밀가루</t>
  </si>
  <si>
    <t>Do-011</t>
  </si>
  <si>
    <t>대양 특선 건과(자두)</t>
  </si>
  <si>
    <t>Do-012</t>
  </si>
  <si>
    <t>태양 100% 오렌지 주스</t>
  </si>
  <si>
    <t>Do-013</t>
  </si>
  <si>
    <t>보스톤산 게살 통조림</t>
  </si>
  <si>
    <t>Do-014</t>
  </si>
  <si>
    <t>대양 특선 딸기 소스</t>
  </si>
  <si>
    <t>Do-015</t>
  </si>
  <si>
    <t>Do-016</t>
  </si>
  <si>
    <t>한성 옥수수 가루</t>
  </si>
  <si>
    <t>Do-017</t>
  </si>
  <si>
    <t>콜롬비아산 원두커피</t>
  </si>
  <si>
    <t>Do-018</t>
  </si>
  <si>
    <t>Do-019</t>
  </si>
  <si>
    <t>서울 구이 김</t>
  </si>
  <si>
    <t>Do-020</t>
  </si>
  <si>
    <t>Do-021</t>
  </si>
  <si>
    <t>훈제 대합조개 통조림</t>
  </si>
  <si>
    <t>Do-022</t>
  </si>
  <si>
    <t>신한 100% 복숭아 시럽</t>
  </si>
  <si>
    <t>Do-023</t>
  </si>
  <si>
    <t>Do-024</t>
  </si>
  <si>
    <t>Do-025</t>
  </si>
  <si>
    <t>태양 체리 시럽</t>
  </si>
  <si>
    <t>Do-026</t>
  </si>
  <si>
    <t>신한 100% 파인애플 시럽</t>
  </si>
  <si>
    <t>Do-027</t>
  </si>
  <si>
    <t>Do-028</t>
  </si>
  <si>
    <t>대양 특선 블루베리 잼</t>
  </si>
  <si>
    <t>Do-029</t>
  </si>
  <si>
    <t>Do-030</t>
  </si>
  <si>
    <t>Do-031</t>
  </si>
  <si>
    <t>Do-032</t>
  </si>
  <si>
    <t>Do-033</t>
  </si>
  <si>
    <t>Do-034</t>
  </si>
  <si>
    <t>Do-035</t>
  </si>
  <si>
    <t>Do-036</t>
  </si>
  <si>
    <t>Do-037</t>
  </si>
  <si>
    <t>대양 특선 건과(배)</t>
  </si>
  <si>
    <t>Do-038</t>
  </si>
  <si>
    <t>Do-039</t>
  </si>
  <si>
    <t>Do-040</t>
  </si>
  <si>
    <t>유림 사과 통조림</t>
  </si>
  <si>
    <t>Do-041</t>
  </si>
  <si>
    <t>필로 믹스</t>
  </si>
  <si>
    <t>Do-042</t>
  </si>
  <si>
    <t>Do-043</t>
  </si>
  <si>
    <t>Do-044</t>
  </si>
  <si>
    <t>Do-045</t>
  </si>
  <si>
    <t>Do-046</t>
  </si>
  <si>
    <t>Do-047</t>
  </si>
  <si>
    <t>Do-048</t>
  </si>
  <si>
    <t>Do-049</t>
  </si>
  <si>
    <t>Do-050</t>
  </si>
  <si>
    <t>Do-051</t>
  </si>
  <si>
    <t>Do-052</t>
  </si>
  <si>
    <t>Do-053</t>
  </si>
  <si>
    <t>대양 핫 케이크 소스</t>
  </si>
  <si>
    <t>Do-054</t>
  </si>
  <si>
    <t>Do-055</t>
  </si>
  <si>
    <t>Do-056</t>
  </si>
  <si>
    <t>Do-057</t>
  </si>
  <si>
    <t>Do-058</t>
  </si>
  <si>
    <t>Do-059</t>
  </si>
  <si>
    <t>Do-060</t>
  </si>
  <si>
    <t>Do-061</t>
  </si>
  <si>
    <t>Do-062</t>
  </si>
  <si>
    <t>Do-063</t>
  </si>
  <si>
    <t>Do-064</t>
  </si>
  <si>
    <t>Do-065</t>
  </si>
  <si>
    <t>Do-066</t>
  </si>
  <si>
    <t>Do-067</t>
  </si>
  <si>
    <t>Do-068</t>
  </si>
  <si>
    <t>Do-069</t>
  </si>
  <si>
    <t>Do-070</t>
  </si>
  <si>
    <t>Do-071</t>
  </si>
  <si>
    <t>앨리스 포장육</t>
  </si>
  <si>
    <t>Do-072</t>
  </si>
  <si>
    <t>Do-073</t>
  </si>
  <si>
    <t>Do-074</t>
  </si>
  <si>
    <t>Do-075</t>
  </si>
  <si>
    <t>Do-076</t>
  </si>
  <si>
    <t>Kim</t>
    <phoneticPr fontId="2" type="noConversion"/>
  </si>
  <si>
    <t>Park</t>
    <phoneticPr fontId="2" type="noConversion"/>
  </si>
  <si>
    <t>&gt;=100</t>
    <phoneticPr fontId="2" type="noConversion"/>
  </si>
  <si>
    <t>총합계</t>
  </si>
  <si>
    <t>음료</t>
  </si>
  <si>
    <t>조미료</t>
  </si>
  <si>
    <t>가공 식품</t>
  </si>
  <si>
    <t>육류</t>
  </si>
  <si>
    <t>과자류</t>
  </si>
  <si>
    <t>해산물</t>
  </si>
  <si>
    <t>곡류</t>
  </si>
  <si>
    <t>유제품</t>
  </si>
  <si>
    <t>제품분류</t>
    <phoneticPr fontId="2" type="noConversion"/>
  </si>
  <si>
    <t>공급업체</t>
    <phoneticPr fontId="2" type="noConversion"/>
  </si>
  <si>
    <t>서울 무역</t>
  </si>
  <si>
    <t>삼화 음료</t>
  </si>
  <si>
    <t>신한 식품</t>
  </si>
  <si>
    <t>미미 제과</t>
  </si>
  <si>
    <t>유미 식품</t>
  </si>
  <si>
    <t>태양 식품</t>
  </si>
  <si>
    <t>대륙 교역</t>
  </si>
  <si>
    <t>현진 식품</t>
  </si>
  <si>
    <t>대양 농산</t>
  </si>
  <si>
    <t>합계 : 수량</t>
  </si>
  <si>
    <t>제품분류</t>
  </si>
  <si>
    <t>주문일자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</si>
</sst>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10"/>
      <color theme="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b/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/>
  </cellStyleXfs>
  <cellXfs count="19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58" fontId="7" fillId="0" borderId="1" xfId="0" applyNumberFormat="1" applyFont="1" applyBorder="1" applyAlignment="1">
      <alignment horizontal="center" vertical="center"/>
    </xf>
    <xf numFmtId="0" fontId="8" fillId="0" borderId="1" xfId="2" applyFont="1" applyFill="1" applyBorder="1" applyAlignment="1">
      <alignment horizontal="center" vertical="center" wrapText="1"/>
    </xf>
    <xf numFmtId="41" fontId="8" fillId="0" borderId="1" xfId="1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58" fontId="7" fillId="0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0" fillId="5" borderId="1" xfId="2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6" fillId="0" borderId="0" xfId="0" pivotButton="1" applyFont="1">
      <alignment vertical="center"/>
    </xf>
    <xf numFmtId="0" fontId="6" fillId="0" borderId="0" xfId="0" applyFont="1">
      <alignment vertical="center"/>
    </xf>
    <xf numFmtId="58" fontId="6" fillId="0" borderId="0" xfId="0" applyNumberFormat="1" applyFont="1" applyAlignment="1">
      <alignment horizontal="left" vertical="center"/>
    </xf>
    <xf numFmtId="41" fontId="6" fillId="0" borderId="0" xfId="0" applyNumberFormat="1" applyFont="1">
      <alignment vertical="center"/>
    </xf>
  </cellXfs>
  <cellStyles count="3">
    <cellStyle name="쉼표 [0]" xfId="1" builtinId="6"/>
    <cellStyle name="표준" xfId="0" builtinId="0"/>
    <cellStyle name="표준_Sheet1" xfId="2"/>
  </cellStyles>
  <dxfs count="5">
    <dxf>
      <numFmt numFmtId="33" formatCode="_-* #,##0_-;\-* #,##0_-;_-* &quot;-&quot;_-;_-@_-"/>
    </dxf>
    <dxf>
      <font>
        <sz val="10"/>
      </font>
    </dxf>
    <dxf>
      <font>
        <sz val="10"/>
      </font>
    </dxf>
    <dxf>
      <font>
        <sz val="2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odream" refreshedDate="41607.659813310187" createdVersion="3" refreshedVersion="4" minRefreshableVersion="3" recordCount="76">
  <cacheSource type="worksheet">
    <worksheetSource ref="B2:I78" sheet="Sheet6"/>
  </cacheSource>
  <cacheFields count="8">
    <cacheField name="주문일자" numFmtId="58">
      <sharedItems containsSemiMixedTypes="0" containsNonDate="0" containsDate="1" containsString="0" minDate="2013-01-03T00:00:00" maxDate="2013-12-28T00:00:00" count="68">
        <d v="2013-01-03T00:00:00"/>
        <d v="2013-01-20T00:00:00"/>
        <d v="2013-01-25T00:00:00"/>
        <d v="2013-01-26T00:00:00"/>
        <d v="2013-01-27T00:00:00"/>
        <d v="2013-02-11T00:00:00"/>
        <d v="2013-02-12T00:00:00"/>
        <d v="2013-02-13T00:00:00"/>
        <d v="2013-02-20T00:00:00"/>
        <d v="2013-02-23T00:00:00"/>
        <d v="2013-02-27T00:00:00"/>
        <d v="2013-03-07T00:00:00"/>
        <d v="2013-03-11T00:00:00"/>
        <d v="2013-03-17T00:00:00"/>
        <d v="2013-03-19T00:00:00"/>
        <d v="2013-03-20T00:00:00"/>
        <d v="2013-03-21T00:00:00"/>
        <d v="2013-03-22T00:00:00"/>
        <d v="2013-03-23T00:00:00"/>
        <d v="2013-03-25T00:00:00"/>
        <d v="2013-03-26T00:00:00"/>
        <d v="2013-03-27T00:00:00"/>
        <d v="2013-04-05T00:00:00"/>
        <d v="2013-04-11T00:00:00"/>
        <d v="2013-04-18T00:00:00"/>
        <d v="2013-04-26T00:00:00"/>
        <d v="2013-04-29T00:00:00"/>
        <d v="2013-04-30T00:00:00"/>
        <d v="2013-05-11T00:00:00"/>
        <d v="2013-05-18T00:00:00"/>
        <d v="2013-05-20T00:00:00"/>
        <d v="2013-06-02T00:00:00"/>
        <d v="2013-06-08T00:00:00"/>
        <d v="2013-06-10T00:00:00"/>
        <d v="2013-06-11T00:00:00"/>
        <d v="2013-06-13T00:00:00"/>
        <d v="2013-06-19T00:00:00"/>
        <d v="2013-06-20T00:00:00"/>
        <d v="2013-06-30T00:00:00"/>
        <d v="2013-07-08T00:00:00"/>
        <d v="2013-07-28T00:00:00"/>
        <d v="2013-07-31T00:00:00"/>
        <d v="2013-08-02T00:00:00"/>
        <d v="2013-08-06T00:00:00"/>
        <d v="2013-08-11T00:00:00"/>
        <d v="2013-08-13T00:00:00"/>
        <d v="2013-08-17T00:00:00"/>
        <d v="2013-08-20T00:00:00"/>
        <d v="2013-09-03T00:00:00"/>
        <d v="2013-09-04T00:00:00"/>
        <d v="2013-09-12T00:00:00"/>
        <d v="2013-09-26T00:00:00"/>
        <d v="2013-10-19T00:00:00"/>
        <d v="2013-10-22T00:00:00"/>
        <d v="2013-10-28T00:00:00"/>
        <d v="2013-10-29T00:00:00"/>
        <d v="2013-10-30T00:00:00"/>
        <d v="2013-11-01T00:00:00"/>
        <d v="2013-11-06T00:00:00"/>
        <d v="2013-11-11T00:00:00"/>
        <d v="2013-11-15T00:00:00"/>
        <d v="2013-11-17T00:00:00"/>
        <d v="2013-11-21T00:00:00"/>
        <d v="2013-11-25T00:00:00"/>
        <d v="2013-11-28T00:00:00"/>
        <d v="2013-12-15T00:00:00"/>
        <d v="2013-12-20T00:00:00"/>
        <d v="2013-12-27T00:00:00"/>
      </sharedItems>
    </cacheField>
    <cacheField name="제품" numFmtId="0">
      <sharedItems/>
    </cacheField>
    <cacheField name="제품분류" numFmtId="0">
      <sharedItems count="8">
        <s v="과자류"/>
        <s v="음료"/>
        <s v="유제품"/>
        <s v="곡류"/>
        <s v="가공 식품"/>
        <s v="해산물"/>
        <s v="조미료"/>
        <s v="육류"/>
      </sharedItems>
    </cacheField>
    <cacheField name="공급업체" numFmtId="0">
      <sharedItems count="9">
        <s v="삼화 음료"/>
        <s v="대양 농산"/>
        <s v="태양 식품"/>
        <s v="신한 식품"/>
        <s v="서울 무역"/>
        <s v="현진 식품"/>
        <s v="대륙 교역"/>
        <s v="미미 제과"/>
        <s v="유미 식품"/>
      </sharedItems>
    </cacheField>
    <cacheField name="수량" numFmtId="0">
      <sharedItems containsSemiMixedTypes="0" containsString="0" containsNumber="1" containsInteger="1" minValue="3" maxValue="300"/>
    </cacheField>
    <cacheField name="단가" numFmtId="41">
      <sharedItems containsSemiMixedTypes="0" containsString="0" containsNumber="1" containsInteger="1" minValue="2990" maxValue="81000"/>
    </cacheField>
    <cacheField name="주문금액" numFmtId="41">
      <sharedItems containsSemiMixedTypes="0" containsString="0" containsNumber="1" containsInteger="1" minValue="35000" maxValue="13800000"/>
    </cacheField>
    <cacheField name="담당직원" numFmtId="0">
      <sharedItems count="3">
        <s v="Park"/>
        <s v="Kim"/>
        <s v="Le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">
  <r>
    <x v="0"/>
    <s v="진미 트로피컬 캔디"/>
    <x v="0"/>
    <x v="0"/>
    <n v="34"/>
    <n v="12750"/>
    <n v="433500"/>
    <x v="0"/>
  </r>
  <r>
    <x v="1"/>
    <s v="성보 야생 녹차"/>
    <x v="1"/>
    <x v="1"/>
    <n v="50"/>
    <n v="2990"/>
    <n v="149500"/>
    <x v="0"/>
  </r>
  <r>
    <x v="1"/>
    <s v="진미 트로피컬 캔디"/>
    <x v="0"/>
    <x v="0"/>
    <n v="10"/>
    <n v="12750"/>
    <n v="127500"/>
    <x v="1"/>
  </r>
  <r>
    <x v="2"/>
    <s v="신한 초콜릿 소스"/>
    <x v="0"/>
    <x v="2"/>
    <n v="20"/>
    <n v="9200"/>
    <n v="184000"/>
    <x v="0"/>
  </r>
  <r>
    <x v="3"/>
    <s v="신한 초콜릿 소스"/>
    <x v="0"/>
    <x v="2"/>
    <n v="30"/>
    <n v="9200"/>
    <n v="276000"/>
    <x v="1"/>
  </r>
  <r>
    <x v="4"/>
    <s v="대양 마말레이드"/>
    <x v="0"/>
    <x v="3"/>
    <n v="40"/>
    <n v="81000"/>
    <n v="3240000"/>
    <x v="0"/>
  </r>
  <r>
    <x v="5"/>
    <s v="태일 라이트 맥주"/>
    <x v="1"/>
    <x v="4"/>
    <n v="87"/>
    <n v="14000"/>
    <n v="1218000"/>
    <x v="1"/>
  </r>
  <r>
    <x v="6"/>
    <s v="대관령 특제 버터"/>
    <x v="2"/>
    <x v="5"/>
    <n v="40"/>
    <n v="34800"/>
    <n v="1392000"/>
    <x v="0"/>
  </r>
  <r>
    <x v="7"/>
    <s v="태일 라이트 맥주"/>
    <x v="1"/>
    <x v="4"/>
    <n v="100"/>
    <n v="14000"/>
    <n v="1400000"/>
    <x v="2"/>
  </r>
  <r>
    <x v="7"/>
    <s v="한성 통밀가루"/>
    <x v="3"/>
    <x v="2"/>
    <n v="100"/>
    <n v="19500"/>
    <n v="1950000"/>
    <x v="1"/>
  </r>
  <r>
    <x v="8"/>
    <s v="대양 특선 건과(자두)"/>
    <x v="4"/>
    <x v="3"/>
    <n v="30"/>
    <n v="3500"/>
    <n v="105000"/>
    <x v="2"/>
  </r>
  <r>
    <x v="9"/>
    <s v="태양 100% 오렌지 주스"/>
    <x v="1"/>
    <x v="4"/>
    <n v="25"/>
    <n v="18000"/>
    <n v="450000"/>
    <x v="2"/>
  </r>
  <r>
    <x v="10"/>
    <s v="보스톤산 게살 통조림"/>
    <x v="5"/>
    <x v="6"/>
    <n v="40"/>
    <n v="18400"/>
    <n v="736000"/>
    <x v="0"/>
  </r>
  <r>
    <x v="11"/>
    <s v="대양 특선 딸기 소스"/>
    <x v="6"/>
    <x v="7"/>
    <n v="17"/>
    <n v="40000"/>
    <n v="680000"/>
    <x v="0"/>
  </r>
  <r>
    <x v="11"/>
    <s v="대양 특선 딸기 소스"/>
    <x v="6"/>
    <x v="7"/>
    <n v="20"/>
    <n v="40000"/>
    <n v="800000"/>
    <x v="1"/>
  </r>
  <r>
    <x v="12"/>
    <s v="한성 옥수수 가루"/>
    <x v="3"/>
    <x v="2"/>
    <n v="10"/>
    <n v="38000"/>
    <n v="380000"/>
    <x v="0"/>
  </r>
  <r>
    <x v="13"/>
    <s v="콜롬비아산 원두커피"/>
    <x v="1"/>
    <x v="1"/>
    <n v="62"/>
    <n v="46000"/>
    <n v="2852000"/>
    <x v="0"/>
  </r>
  <r>
    <x v="14"/>
    <s v="태일 라이트 맥주"/>
    <x v="1"/>
    <x v="4"/>
    <n v="300"/>
    <n v="14000"/>
    <n v="4200000"/>
    <x v="2"/>
  </r>
  <r>
    <x v="15"/>
    <s v="서울 구이 김"/>
    <x v="4"/>
    <x v="3"/>
    <n v="20"/>
    <n v="10000"/>
    <n v="200000"/>
    <x v="1"/>
  </r>
  <r>
    <x v="16"/>
    <s v="진미 트로피컬 캔디"/>
    <x v="0"/>
    <x v="0"/>
    <n v="40"/>
    <n v="12750"/>
    <n v="510000"/>
    <x v="2"/>
  </r>
  <r>
    <x v="17"/>
    <s v="신한 100% 복숭아 시럽"/>
    <x v="6"/>
    <x v="0"/>
    <n v="30"/>
    <n v="22000"/>
    <n v="660000"/>
    <x v="0"/>
  </r>
  <r>
    <x v="17"/>
    <s v="훈제 대합조개 통조림"/>
    <x v="5"/>
    <x v="8"/>
    <n v="50"/>
    <n v="9650"/>
    <n v="482500"/>
    <x v="0"/>
  </r>
  <r>
    <x v="18"/>
    <s v="성보 야생 녹차"/>
    <x v="1"/>
    <x v="1"/>
    <n v="15"/>
    <n v="2990"/>
    <n v="44850"/>
    <x v="1"/>
  </r>
  <r>
    <x v="19"/>
    <s v="성보 야생 녹차"/>
    <x v="1"/>
    <x v="1"/>
    <n v="200"/>
    <n v="2990"/>
    <n v="598000"/>
    <x v="2"/>
  </r>
  <r>
    <x v="20"/>
    <s v="태양 체리 시럽"/>
    <x v="6"/>
    <x v="0"/>
    <n v="50"/>
    <n v="10000"/>
    <n v="500000"/>
    <x v="2"/>
  </r>
  <r>
    <x v="21"/>
    <s v="신한 100% 파인애플 시럽"/>
    <x v="6"/>
    <x v="0"/>
    <n v="25"/>
    <n v="21350"/>
    <n v="533750"/>
    <x v="1"/>
  </r>
  <r>
    <x v="22"/>
    <s v="대양 특선 딸기 소스"/>
    <x v="6"/>
    <x v="7"/>
    <n v="57"/>
    <n v="40000"/>
    <n v="2280000"/>
    <x v="0"/>
  </r>
  <r>
    <x v="23"/>
    <s v="대양 특선 블루베리 잼"/>
    <x v="6"/>
    <x v="3"/>
    <n v="90"/>
    <n v="25000"/>
    <n v="2250000"/>
    <x v="1"/>
  </r>
  <r>
    <x v="24"/>
    <s v="진미 트로피컬 캔디"/>
    <x v="0"/>
    <x v="0"/>
    <n v="90"/>
    <n v="12750"/>
    <n v="1147500"/>
    <x v="1"/>
  </r>
  <r>
    <x v="25"/>
    <s v="태양 100% 오렌지 주스"/>
    <x v="1"/>
    <x v="4"/>
    <n v="15"/>
    <n v="18000"/>
    <n v="270000"/>
    <x v="1"/>
  </r>
  <r>
    <x v="26"/>
    <s v="콜롬비아산 원두커피"/>
    <x v="1"/>
    <x v="1"/>
    <n v="300"/>
    <n v="46000"/>
    <n v="13800000"/>
    <x v="1"/>
  </r>
  <r>
    <x v="27"/>
    <s v="대양 특선 건과(자두)"/>
    <x v="4"/>
    <x v="3"/>
    <n v="10"/>
    <n v="3500"/>
    <n v="35000"/>
    <x v="0"/>
  </r>
  <r>
    <x v="28"/>
    <s v="콜롬비아산 원두커피"/>
    <x v="1"/>
    <x v="1"/>
    <n v="5"/>
    <n v="46000"/>
    <n v="230000"/>
    <x v="1"/>
  </r>
  <r>
    <x v="29"/>
    <s v="대양 특선 건과(자두)"/>
    <x v="4"/>
    <x v="3"/>
    <n v="16"/>
    <n v="3500"/>
    <n v="56000"/>
    <x v="1"/>
  </r>
  <r>
    <x v="30"/>
    <s v="대양 특선 건과(자두)"/>
    <x v="4"/>
    <x v="3"/>
    <n v="20"/>
    <n v="3500"/>
    <n v="70000"/>
    <x v="2"/>
  </r>
  <r>
    <x v="31"/>
    <s v="진미 트로피컬 캔디"/>
    <x v="0"/>
    <x v="0"/>
    <n v="40"/>
    <n v="12750"/>
    <n v="510000"/>
    <x v="1"/>
  </r>
  <r>
    <x v="32"/>
    <s v="대양 특선 건과(배)"/>
    <x v="4"/>
    <x v="3"/>
    <n v="10"/>
    <n v="30000"/>
    <n v="300000"/>
    <x v="0"/>
  </r>
  <r>
    <x v="33"/>
    <s v="성보 야생 녹차"/>
    <x v="1"/>
    <x v="1"/>
    <n v="25"/>
    <n v="2990"/>
    <n v="74750"/>
    <x v="1"/>
  </r>
  <r>
    <x v="33"/>
    <s v="신한 초콜릿 소스"/>
    <x v="0"/>
    <x v="2"/>
    <n v="10"/>
    <n v="9200"/>
    <n v="92000"/>
    <x v="1"/>
  </r>
  <r>
    <x v="34"/>
    <s v="유림 사과 통조림"/>
    <x v="4"/>
    <x v="3"/>
    <n v="55"/>
    <n v="53000"/>
    <n v="2915000"/>
    <x v="1"/>
  </r>
  <r>
    <x v="35"/>
    <s v="필로 믹스"/>
    <x v="3"/>
    <x v="2"/>
    <n v="40"/>
    <n v="7000"/>
    <n v="280000"/>
    <x v="1"/>
  </r>
  <r>
    <x v="36"/>
    <s v="유림 사과 통조림"/>
    <x v="4"/>
    <x v="3"/>
    <n v="10"/>
    <n v="53000"/>
    <n v="530000"/>
    <x v="0"/>
  </r>
  <r>
    <x v="37"/>
    <s v="대양 특선 블루베리 잼"/>
    <x v="6"/>
    <x v="3"/>
    <n v="10"/>
    <n v="25000"/>
    <n v="250000"/>
    <x v="2"/>
  </r>
  <r>
    <x v="38"/>
    <s v="대양 특선 건과(배)"/>
    <x v="4"/>
    <x v="3"/>
    <n v="30"/>
    <n v="30000"/>
    <n v="900000"/>
    <x v="2"/>
  </r>
  <r>
    <x v="39"/>
    <s v="신한 초콜릿 소스"/>
    <x v="0"/>
    <x v="2"/>
    <n v="35"/>
    <n v="9200"/>
    <n v="322000"/>
    <x v="1"/>
  </r>
  <r>
    <x v="40"/>
    <s v="훈제 대합조개 통조림"/>
    <x v="5"/>
    <x v="8"/>
    <n v="10"/>
    <n v="9650"/>
    <n v="96500"/>
    <x v="1"/>
  </r>
  <r>
    <x v="41"/>
    <s v="보스톤산 게살 통조림"/>
    <x v="5"/>
    <x v="6"/>
    <n v="50"/>
    <n v="18400"/>
    <n v="920000"/>
    <x v="1"/>
  </r>
  <r>
    <x v="42"/>
    <s v="보스톤산 게살 통조림"/>
    <x v="5"/>
    <x v="6"/>
    <n v="30"/>
    <n v="18400"/>
    <n v="552000"/>
    <x v="0"/>
  </r>
  <r>
    <x v="43"/>
    <s v="콜롬비아산 원두커피"/>
    <x v="1"/>
    <x v="1"/>
    <n v="90"/>
    <n v="46000"/>
    <n v="4140000"/>
    <x v="1"/>
  </r>
  <r>
    <x v="44"/>
    <s v="신한 100% 복숭아 시럽"/>
    <x v="6"/>
    <x v="0"/>
    <n v="10"/>
    <n v="22000"/>
    <n v="220000"/>
    <x v="1"/>
  </r>
  <r>
    <x v="45"/>
    <s v="진미 트로피컬 캔디"/>
    <x v="0"/>
    <x v="0"/>
    <n v="10"/>
    <n v="12750"/>
    <n v="127500"/>
    <x v="0"/>
  </r>
  <r>
    <x v="46"/>
    <s v="한성 옥수수 가루"/>
    <x v="3"/>
    <x v="2"/>
    <n v="5"/>
    <n v="38000"/>
    <n v="190000"/>
    <x v="2"/>
  </r>
  <r>
    <x v="47"/>
    <s v="대양 핫 케이크 소스"/>
    <x v="0"/>
    <x v="2"/>
    <n v="20"/>
    <n v="10000"/>
    <n v="200000"/>
    <x v="0"/>
  </r>
  <r>
    <x v="48"/>
    <s v="신한 초콜릿 소스"/>
    <x v="0"/>
    <x v="2"/>
    <n v="25"/>
    <n v="9200"/>
    <n v="230000"/>
    <x v="2"/>
  </r>
  <r>
    <x v="49"/>
    <s v="훈제 대합조개 통조림"/>
    <x v="5"/>
    <x v="8"/>
    <n v="30"/>
    <n v="9650"/>
    <n v="289500"/>
    <x v="0"/>
  </r>
  <r>
    <x v="50"/>
    <s v="훈제 대합조개 통조림"/>
    <x v="5"/>
    <x v="8"/>
    <n v="200"/>
    <n v="9650"/>
    <n v="1930000"/>
    <x v="0"/>
  </r>
  <r>
    <x v="51"/>
    <s v="대양 특선 건과(배)"/>
    <x v="4"/>
    <x v="3"/>
    <n v="72"/>
    <n v="30000"/>
    <n v="2160000"/>
    <x v="0"/>
  </r>
  <r>
    <x v="52"/>
    <s v="대양 특선 딸기 소스"/>
    <x v="6"/>
    <x v="7"/>
    <n v="25"/>
    <n v="40000"/>
    <n v="1000000"/>
    <x v="0"/>
  </r>
  <r>
    <x v="52"/>
    <s v="신한 100% 복숭아 시럽"/>
    <x v="6"/>
    <x v="0"/>
    <n v="80"/>
    <n v="22000"/>
    <n v="1760000"/>
    <x v="1"/>
  </r>
  <r>
    <x v="53"/>
    <s v="콜롬비아산 원두커피"/>
    <x v="1"/>
    <x v="1"/>
    <n v="74"/>
    <n v="46000"/>
    <n v="3404000"/>
    <x v="0"/>
  </r>
  <r>
    <x v="54"/>
    <s v="진미 트로피컬 캔디"/>
    <x v="0"/>
    <x v="0"/>
    <n v="100"/>
    <n v="12750"/>
    <n v="1275000"/>
    <x v="0"/>
  </r>
  <r>
    <x v="55"/>
    <s v="콜롬비아산 원두커피"/>
    <x v="1"/>
    <x v="1"/>
    <n v="25"/>
    <n v="46000"/>
    <n v="1150000"/>
    <x v="0"/>
  </r>
  <r>
    <x v="56"/>
    <s v="훈제 대합조개 통조림"/>
    <x v="5"/>
    <x v="8"/>
    <n v="58"/>
    <n v="9650"/>
    <n v="559700"/>
    <x v="0"/>
  </r>
  <r>
    <x v="57"/>
    <s v="태양 100% 오렌지 주스"/>
    <x v="1"/>
    <x v="4"/>
    <n v="46"/>
    <n v="18000"/>
    <n v="828000"/>
    <x v="2"/>
  </r>
  <r>
    <x v="58"/>
    <s v="대양 특선 딸기 소스"/>
    <x v="6"/>
    <x v="7"/>
    <n v="3"/>
    <n v="40000"/>
    <n v="120000"/>
    <x v="0"/>
  </r>
  <r>
    <x v="59"/>
    <s v="대관령 특제 버터"/>
    <x v="2"/>
    <x v="5"/>
    <n v="50"/>
    <n v="34800"/>
    <n v="1740000"/>
    <x v="1"/>
  </r>
  <r>
    <x v="60"/>
    <s v="콜롬비아산 원두커피"/>
    <x v="1"/>
    <x v="1"/>
    <n v="300"/>
    <n v="46000"/>
    <n v="13800000"/>
    <x v="2"/>
  </r>
  <r>
    <x v="61"/>
    <s v="신한 초콜릿 소스"/>
    <x v="0"/>
    <x v="2"/>
    <n v="12"/>
    <n v="9200"/>
    <n v="110400"/>
    <x v="1"/>
  </r>
  <r>
    <x v="62"/>
    <s v="대양 특선 블루베리 잼"/>
    <x v="6"/>
    <x v="3"/>
    <n v="39"/>
    <n v="25000"/>
    <n v="975000"/>
    <x v="2"/>
  </r>
  <r>
    <x v="62"/>
    <s v="대양 특선 건과(자두)"/>
    <x v="4"/>
    <x v="3"/>
    <n v="15"/>
    <n v="3500"/>
    <n v="52500"/>
    <x v="0"/>
  </r>
  <r>
    <x v="63"/>
    <s v="앨리스 포장육"/>
    <x v="7"/>
    <x v="8"/>
    <n v="40"/>
    <n v="39000"/>
    <n v="1560000"/>
    <x v="0"/>
  </r>
  <r>
    <x v="64"/>
    <s v="유림 사과 통조림"/>
    <x v="4"/>
    <x v="3"/>
    <n v="30"/>
    <n v="53000"/>
    <n v="1590000"/>
    <x v="0"/>
  </r>
  <r>
    <x v="64"/>
    <s v="성보 야생 녹차"/>
    <x v="1"/>
    <x v="1"/>
    <n v="90"/>
    <n v="2990"/>
    <n v="269100"/>
    <x v="1"/>
  </r>
  <r>
    <x v="65"/>
    <s v="콜롬비아산 원두커피"/>
    <x v="1"/>
    <x v="1"/>
    <n v="20"/>
    <n v="46000"/>
    <n v="920000"/>
    <x v="2"/>
  </r>
  <r>
    <x v="66"/>
    <s v="대양 특선 건과(자두)"/>
    <x v="4"/>
    <x v="3"/>
    <n v="31"/>
    <n v="3500"/>
    <n v="108500"/>
    <x v="0"/>
  </r>
  <r>
    <x v="67"/>
    <s v="신한 초콜릿 소스"/>
    <x v="0"/>
    <x v="2"/>
    <n v="6"/>
    <n v="9200"/>
    <n v="552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2" cacheId="0" applyNumberFormats="0" applyBorderFormats="0" applyFontFormats="0" applyPatternFormats="0" applyAlignmentFormats="0" applyWidthHeightFormats="1" dataCaption="값" updatedVersion="4" minRefreshableVersion="3" showCalcMbrs="0" useAutoFormatting="1" itemPrintTitles="1" createdVersion="3" indent="0" outline="1" outlineData="1" multipleFieldFilters="0" rowHeaderCaption="주문일자" colHeaderCaption="제품분류">
  <location ref="B2:K72" firstHeaderRow="1" firstDataRow="2" firstDataCol="1"/>
  <pivotFields count="8">
    <pivotField axis="axisRow" numFmtId="58" showAll="0">
      <items count="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t="default"/>
      </items>
    </pivotField>
    <pivotField showAll="0"/>
    <pivotField axis="axisCol" showAll="0">
      <items count="9">
        <item x="0"/>
        <item x="2"/>
        <item x="1"/>
        <item x="4"/>
        <item x="6"/>
        <item x="3"/>
        <item x="7"/>
        <item x="5"/>
        <item t="default"/>
      </items>
    </pivotField>
    <pivotField showAll="0"/>
    <pivotField dataField="1" showAll="0"/>
    <pivotField numFmtId="41" showAll="0"/>
    <pivotField numFmtId="41" showAll="0"/>
    <pivotField showAll="0"/>
  </pivotFields>
  <rowFields count="1">
    <field x="0"/>
  </rowFields>
  <rowItems count="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 t="grand">
      <x/>
    </i>
  </rowItems>
  <colFields count="1">
    <field x="2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합계 : 수량" fld="4" baseField="0" baseItem="0" numFmtId="41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outline="0" collapsedLevelsAreSubtotals="1" fieldPosition="0"/>
    </format>
  </formats>
  <pivotTableStyleInfo name="PivotStyleMedium9" showRowHeaders="1" showColHeaders="1" showRowStripes="1" showColStripes="1" showLastColumn="1"/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78"/>
  <sheetViews>
    <sheetView tabSelected="1" workbookViewId="0">
      <selection activeCell="B2" sqref="B2"/>
    </sheetView>
  </sheetViews>
  <sheetFormatPr defaultRowHeight="16.5" x14ac:dyDescent="0.3"/>
  <cols>
    <col min="1" max="1" width="3.625" customWidth="1"/>
    <col min="3" max="3" width="8" bestFit="1" customWidth="1"/>
    <col min="4" max="4" width="21.5" bestFit="1" customWidth="1"/>
    <col min="5" max="5" width="6.5" customWidth="1"/>
    <col min="6" max="6" width="7.5" bestFit="1" customWidth="1"/>
    <col min="7" max="7" width="10.5" bestFit="1" customWidth="1"/>
  </cols>
  <sheetData>
    <row r="2" spans="2:8" x14ac:dyDescent="0.3">
      <c r="B2" s="1" t="s">
        <v>0</v>
      </c>
      <c r="C2" s="1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</row>
    <row r="3" spans="2:8" x14ac:dyDescent="0.3">
      <c r="B3" s="3" t="s">
        <v>7</v>
      </c>
      <c r="C3" s="4">
        <v>41277</v>
      </c>
      <c r="D3" s="5" t="s">
        <v>8</v>
      </c>
      <c r="E3" s="5">
        <v>34</v>
      </c>
      <c r="F3" s="6">
        <v>12750</v>
      </c>
      <c r="G3" s="6">
        <f t="shared" ref="G3:G34" si="0">E3*F3</f>
        <v>433500</v>
      </c>
      <c r="H3" s="3" t="s">
        <v>9</v>
      </c>
    </row>
    <row r="4" spans="2:8" x14ac:dyDescent="0.3">
      <c r="B4" s="3" t="s">
        <v>10</v>
      </c>
      <c r="C4" s="4">
        <v>41294</v>
      </c>
      <c r="D4" s="5" t="s">
        <v>11</v>
      </c>
      <c r="E4" s="5">
        <v>50</v>
      </c>
      <c r="F4" s="6">
        <v>2990</v>
      </c>
      <c r="G4" s="6">
        <f t="shared" si="0"/>
        <v>149500</v>
      </c>
      <c r="H4" s="3" t="s">
        <v>9</v>
      </c>
    </row>
    <row r="5" spans="2:8" x14ac:dyDescent="0.3">
      <c r="B5" s="3" t="s">
        <v>12</v>
      </c>
      <c r="C5" s="4">
        <v>41294</v>
      </c>
      <c r="D5" s="5" t="s">
        <v>8</v>
      </c>
      <c r="E5" s="5">
        <v>10</v>
      </c>
      <c r="F5" s="6">
        <v>12750</v>
      </c>
      <c r="G5" s="6">
        <f t="shared" si="0"/>
        <v>127500</v>
      </c>
      <c r="H5" s="3" t="s">
        <v>13</v>
      </c>
    </row>
    <row r="6" spans="2:8" x14ac:dyDescent="0.3">
      <c r="B6" s="3" t="s">
        <v>14</v>
      </c>
      <c r="C6" s="4">
        <v>41299</v>
      </c>
      <c r="D6" s="5" t="s">
        <v>15</v>
      </c>
      <c r="E6" s="5">
        <v>20</v>
      </c>
      <c r="F6" s="6">
        <v>9200</v>
      </c>
      <c r="G6" s="6">
        <f t="shared" si="0"/>
        <v>184000</v>
      </c>
      <c r="H6" s="3" t="s">
        <v>9</v>
      </c>
    </row>
    <row r="7" spans="2:8" x14ac:dyDescent="0.3">
      <c r="B7" s="3" t="s">
        <v>16</v>
      </c>
      <c r="C7" s="4">
        <v>41300</v>
      </c>
      <c r="D7" s="5" t="s">
        <v>15</v>
      </c>
      <c r="E7" s="5">
        <v>30</v>
      </c>
      <c r="F7" s="6">
        <v>9200</v>
      </c>
      <c r="G7" s="6">
        <f t="shared" si="0"/>
        <v>276000</v>
      </c>
      <c r="H7" s="3" t="s">
        <v>13</v>
      </c>
    </row>
    <row r="8" spans="2:8" x14ac:dyDescent="0.3">
      <c r="B8" s="3" t="s">
        <v>17</v>
      </c>
      <c r="C8" s="4">
        <v>41301</v>
      </c>
      <c r="D8" s="5" t="s">
        <v>18</v>
      </c>
      <c r="E8" s="5">
        <v>40</v>
      </c>
      <c r="F8" s="6">
        <v>81000</v>
      </c>
      <c r="G8" s="6">
        <f t="shared" si="0"/>
        <v>3240000</v>
      </c>
      <c r="H8" s="3" t="s">
        <v>9</v>
      </c>
    </row>
    <row r="9" spans="2:8" x14ac:dyDescent="0.3">
      <c r="B9" s="7" t="s">
        <v>19</v>
      </c>
      <c r="C9" s="8">
        <v>41316</v>
      </c>
      <c r="D9" s="5" t="s">
        <v>20</v>
      </c>
      <c r="E9" s="5">
        <v>87</v>
      </c>
      <c r="F9" s="6">
        <v>14000</v>
      </c>
      <c r="G9" s="6">
        <f t="shared" si="0"/>
        <v>1218000</v>
      </c>
      <c r="H9" s="7" t="s">
        <v>13</v>
      </c>
    </row>
    <row r="10" spans="2:8" x14ac:dyDescent="0.3">
      <c r="B10" s="7" t="s">
        <v>21</v>
      </c>
      <c r="C10" s="8">
        <v>41317</v>
      </c>
      <c r="D10" s="5" t="s">
        <v>22</v>
      </c>
      <c r="E10" s="5">
        <v>40</v>
      </c>
      <c r="F10" s="6">
        <v>34800</v>
      </c>
      <c r="G10" s="6">
        <f t="shared" si="0"/>
        <v>1392000</v>
      </c>
      <c r="H10" s="7" t="s">
        <v>9</v>
      </c>
    </row>
    <row r="11" spans="2:8" x14ac:dyDescent="0.3">
      <c r="B11" s="7" t="s">
        <v>23</v>
      </c>
      <c r="C11" s="8">
        <v>41318</v>
      </c>
      <c r="D11" s="5" t="s">
        <v>20</v>
      </c>
      <c r="E11" s="5">
        <v>100</v>
      </c>
      <c r="F11" s="6">
        <v>14000</v>
      </c>
      <c r="G11" s="6">
        <f t="shared" si="0"/>
        <v>1400000</v>
      </c>
      <c r="H11" s="7" t="s">
        <v>24</v>
      </c>
    </row>
    <row r="12" spans="2:8" x14ac:dyDescent="0.3">
      <c r="B12" s="7" t="s">
        <v>25</v>
      </c>
      <c r="C12" s="8">
        <v>41318</v>
      </c>
      <c r="D12" s="5" t="s">
        <v>26</v>
      </c>
      <c r="E12" s="5">
        <v>100</v>
      </c>
      <c r="F12" s="6">
        <v>19500</v>
      </c>
      <c r="G12" s="6">
        <f t="shared" si="0"/>
        <v>1950000</v>
      </c>
      <c r="H12" s="7" t="s">
        <v>13</v>
      </c>
    </row>
    <row r="13" spans="2:8" x14ac:dyDescent="0.3">
      <c r="B13" s="7" t="s">
        <v>27</v>
      </c>
      <c r="C13" s="8">
        <v>41325</v>
      </c>
      <c r="D13" s="5" t="s">
        <v>28</v>
      </c>
      <c r="E13" s="5">
        <v>30</v>
      </c>
      <c r="F13" s="6">
        <v>3500</v>
      </c>
      <c r="G13" s="6">
        <f t="shared" si="0"/>
        <v>105000</v>
      </c>
      <c r="H13" s="7" t="s">
        <v>24</v>
      </c>
    </row>
    <row r="14" spans="2:8" x14ac:dyDescent="0.3">
      <c r="B14" s="3" t="s">
        <v>29</v>
      </c>
      <c r="C14" s="4">
        <v>41328</v>
      </c>
      <c r="D14" s="5" t="s">
        <v>30</v>
      </c>
      <c r="E14" s="5">
        <v>25</v>
      </c>
      <c r="F14" s="6">
        <v>18000</v>
      </c>
      <c r="G14" s="6">
        <f t="shared" si="0"/>
        <v>450000</v>
      </c>
      <c r="H14" s="3" t="s">
        <v>24</v>
      </c>
    </row>
    <row r="15" spans="2:8" x14ac:dyDescent="0.3">
      <c r="B15" s="3" t="s">
        <v>31</v>
      </c>
      <c r="C15" s="4">
        <v>41332</v>
      </c>
      <c r="D15" s="5" t="s">
        <v>32</v>
      </c>
      <c r="E15" s="5">
        <v>40</v>
      </c>
      <c r="F15" s="6">
        <v>18400</v>
      </c>
      <c r="G15" s="6">
        <f t="shared" si="0"/>
        <v>736000</v>
      </c>
      <c r="H15" s="3" t="s">
        <v>9</v>
      </c>
    </row>
    <row r="16" spans="2:8" x14ac:dyDescent="0.3">
      <c r="B16" s="3" t="s">
        <v>33</v>
      </c>
      <c r="C16" s="4">
        <v>41340</v>
      </c>
      <c r="D16" s="5" t="s">
        <v>34</v>
      </c>
      <c r="E16" s="5">
        <v>17</v>
      </c>
      <c r="F16" s="6">
        <v>40000</v>
      </c>
      <c r="G16" s="6">
        <f t="shared" si="0"/>
        <v>680000</v>
      </c>
      <c r="H16" s="3" t="s">
        <v>9</v>
      </c>
    </row>
    <row r="17" spans="2:8" x14ac:dyDescent="0.3">
      <c r="B17" s="3" t="s">
        <v>35</v>
      </c>
      <c r="C17" s="4">
        <v>41340</v>
      </c>
      <c r="D17" s="5" t="s">
        <v>34</v>
      </c>
      <c r="E17" s="5">
        <v>20</v>
      </c>
      <c r="F17" s="6">
        <v>40000</v>
      </c>
      <c r="G17" s="6">
        <f t="shared" si="0"/>
        <v>800000</v>
      </c>
      <c r="H17" s="3" t="s">
        <v>13</v>
      </c>
    </row>
    <row r="18" spans="2:8" x14ac:dyDescent="0.3">
      <c r="B18" s="3" t="s">
        <v>36</v>
      </c>
      <c r="C18" s="4">
        <v>41344</v>
      </c>
      <c r="D18" s="5" t="s">
        <v>37</v>
      </c>
      <c r="E18" s="5">
        <v>10</v>
      </c>
      <c r="F18" s="6">
        <v>38000</v>
      </c>
      <c r="G18" s="6">
        <f t="shared" si="0"/>
        <v>380000</v>
      </c>
      <c r="H18" s="3" t="s">
        <v>9</v>
      </c>
    </row>
    <row r="19" spans="2:8" x14ac:dyDescent="0.3">
      <c r="B19" s="3" t="s">
        <v>38</v>
      </c>
      <c r="C19" s="4">
        <v>41350</v>
      </c>
      <c r="D19" s="5" t="s">
        <v>39</v>
      </c>
      <c r="E19" s="5">
        <v>62</v>
      </c>
      <c r="F19" s="6">
        <v>46000</v>
      </c>
      <c r="G19" s="6">
        <f t="shared" si="0"/>
        <v>2852000</v>
      </c>
      <c r="H19" s="3" t="s">
        <v>9</v>
      </c>
    </row>
    <row r="20" spans="2:8" x14ac:dyDescent="0.3">
      <c r="B20" s="3" t="s">
        <v>40</v>
      </c>
      <c r="C20" s="4">
        <v>41352</v>
      </c>
      <c r="D20" s="5" t="s">
        <v>20</v>
      </c>
      <c r="E20" s="5">
        <v>300</v>
      </c>
      <c r="F20" s="6">
        <v>14000</v>
      </c>
      <c r="G20" s="6">
        <f t="shared" si="0"/>
        <v>4200000</v>
      </c>
      <c r="H20" s="3" t="s">
        <v>24</v>
      </c>
    </row>
    <row r="21" spans="2:8" x14ac:dyDescent="0.3">
      <c r="B21" s="3" t="s">
        <v>41</v>
      </c>
      <c r="C21" s="4">
        <v>41353</v>
      </c>
      <c r="D21" s="5" t="s">
        <v>42</v>
      </c>
      <c r="E21" s="5">
        <v>20</v>
      </c>
      <c r="F21" s="6">
        <v>10000</v>
      </c>
      <c r="G21" s="6">
        <f t="shared" si="0"/>
        <v>200000</v>
      </c>
      <c r="H21" s="3" t="s">
        <v>13</v>
      </c>
    </row>
    <row r="22" spans="2:8" x14ac:dyDescent="0.3">
      <c r="B22" s="3" t="s">
        <v>43</v>
      </c>
      <c r="C22" s="4">
        <v>41354</v>
      </c>
      <c r="D22" s="5" t="s">
        <v>8</v>
      </c>
      <c r="E22" s="5">
        <v>40</v>
      </c>
      <c r="F22" s="6">
        <v>12750</v>
      </c>
      <c r="G22" s="6">
        <f t="shared" si="0"/>
        <v>510000</v>
      </c>
      <c r="H22" s="3" t="s">
        <v>24</v>
      </c>
    </row>
    <row r="23" spans="2:8" x14ac:dyDescent="0.3">
      <c r="B23" s="3" t="s">
        <v>44</v>
      </c>
      <c r="C23" s="4">
        <v>41355</v>
      </c>
      <c r="D23" s="5" t="s">
        <v>45</v>
      </c>
      <c r="E23" s="5">
        <v>50</v>
      </c>
      <c r="F23" s="6">
        <v>9650</v>
      </c>
      <c r="G23" s="6">
        <f t="shared" si="0"/>
        <v>482500</v>
      </c>
      <c r="H23" s="3" t="s">
        <v>9</v>
      </c>
    </row>
    <row r="24" spans="2:8" x14ac:dyDescent="0.3">
      <c r="B24" s="3" t="s">
        <v>46</v>
      </c>
      <c r="C24" s="4">
        <v>41355</v>
      </c>
      <c r="D24" s="5" t="s">
        <v>47</v>
      </c>
      <c r="E24" s="5">
        <v>30</v>
      </c>
      <c r="F24" s="6">
        <v>22000</v>
      </c>
      <c r="G24" s="6">
        <f t="shared" si="0"/>
        <v>660000</v>
      </c>
      <c r="H24" s="3" t="s">
        <v>9</v>
      </c>
    </row>
    <row r="25" spans="2:8" x14ac:dyDescent="0.3">
      <c r="B25" s="3" t="s">
        <v>48</v>
      </c>
      <c r="C25" s="4">
        <v>41356</v>
      </c>
      <c r="D25" s="5" t="s">
        <v>11</v>
      </c>
      <c r="E25" s="5">
        <v>15</v>
      </c>
      <c r="F25" s="6">
        <v>2990</v>
      </c>
      <c r="G25" s="6">
        <f t="shared" si="0"/>
        <v>44850</v>
      </c>
      <c r="H25" s="3" t="s">
        <v>13</v>
      </c>
    </row>
    <row r="26" spans="2:8" x14ac:dyDescent="0.3">
      <c r="B26" s="3" t="s">
        <v>49</v>
      </c>
      <c r="C26" s="4">
        <v>41358</v>
      </c>
      <c r="D26" s="5" t="s">
        <v>11</v>
      </c>
      <c r="E26" s="5">
        <v>200</v>
      </c>
      <c r="F26" s="6">
        <v>2990</v>
      </c>
      <c r="G26" s="6">
        <f t="shared" si="0"/>
        <v>598000</v>
      </c>
      <c r="H26" s="3" t="s">
        <v>24</v>
      </c>
    </row>
    <row r="27" spans="2:8" x14ac:dyDescent="0.3">
      <c r="B27" s="3" t="s">
        <v>50</v>
      </c>
      <c r="C27" s="4">
        <v>41359</v>
      </c>
      <c r="D27" s="5" t="s">
        <v>51</v>
      </c>
      <c r="E27" s="5">
        <v>50</v>
      </c>
      <c r="F27" s="6">
        <v>10000</v>
      </c>
      <c r="G27" s="6">
        <f t="shared" si="0"/>
        <v>500000</v>
      </c>
      <c r="H27" s="3" t="s">
        <v>24</v>
      </c>
    </row>
    <row r="28" spans="2:8" x14ac:dyDescent="0.3">
      <c r="B28" s="3" t="s">
        <v>52</v>
      </c>
      <c r="C28" s="4">
        <v>41360</v>
      </c>
      <c r="D28" s="5" t="s">
        <v>53</v>
      </c>
      <c r="E28" s="5">
        <v>25</v>
      </c>
      <c r="F28" s="6">
        <v>21350</v>
      </c>
      <c r="G28" s="6">
        <f t="shared" si="0"/>
        <v>533750</v>
      </c>
      <c r="H28" s="3" t="s">
        <v>13</v>
      </c>
    </row>
    <row r="29" spans="2:8" x14ac:dyDescent="0.3">
      <c r="B29" s="3" t="s">
        <v>54</v>
      </c>
      <c r="C29" s="4">
        <v>41369</v>
      </c>
      <c r="D29" s="5" t="s">
        <v>34</v>
      </c>
      <c r="E29" s="5">
        <v>57</v>
      </c>
      <c r="F29" s="6">
        <v>40000</v>
      </c>
      <c r="G29" s="6">
        <f t="shared" si="0"/>
        <v>2280000</v>
      </c>
      <c r="H29" s="3" t="s">
        <v>9</v>
      </c>
    </row>
    <row r="30" spans="2:8" x14ac:dyDescent="0.3">
      <c r="B30" s="3" t="s">
        <v>55</v>
      </c>
      <c r="C30" s="4">
        <v>41375</v>
      </c>
      <c r="D30" s="5" t="s">
        <v>56</v>
      </c>
      <c r="E30" s="5">
        <v>90</v>
      </c>
      <c r="F30" s="6">
        <v>25000</v>
      </c>
      <c r="G30" s="6">
        <f t="shared" si="0"/>
        <v>2250000</v>
      </c>
      <c r="H30" s="3" t="s">
        <v>13</v>
      </c>
    </row>
    <row r="31" spans="2:8" x14ac:dyDescent="0.3">
      <c r="B31" s="3" t="s">
        <v>57</v>
      </c>
      <c r="C31" s="4">
        <v>41382</v>
      </c>
      <c r="D31" s="5" t="s">
        <v>8</v>
      </c>
      <c r="E31" s="5">
        <v>90</v>
      </c>
      <c r="F31" s="6">
        <v>12750</v>
      </c>
      <c r="G31" s="6">
        <f t="shared" si="0"/>
        <v>1147500</v>
      </c>
      <c r="H31" s="3" t="s">
        <v>13</v>
      </c>
    </row>
    <row r="32" spans="2:8" x14ac:dyDescent="0.3">
      <c r="B32" s="3" t="s">
        <v>58</v>
      </c>
      <c r="C32" s="4">
        <v>41390</v>
      </c>
      <c r="D32" s="5" t="s">
        <v>30</v>
      </c>
      <c r="E32" s="5">
        <v>15</v>
      </c>
      <c r="F32" s="6">
        <v>18000</v>
      </c>
      <c r="G32" s="6">
        <f t="shared" si="0"/>
        <v>270000</v>
      </c>
      <c r="H32" s="3" t="s">
        <v>13</v>
      </c>
    </row>
    <row r="33" spans="2:8" x14ac:dyDescent="0.3">
      <c r="B33" s="3" t="s">
        <v>59</v>
      </c>
      <c r="C33" s="4">
        <v>41393</v>
      </c>
      <c r="D33" s="5" t="s">
        <v>39</v>
      </c>
      <c r="E33" s="5">
        <v>300</v>
      </c>
      <c r="F33" s="6">
        <v>46000</v>
      </c>
      <c r="G33" s="6">
        <f t="shared" si="0"/>
        <v>13800000</v>
      </c>
      <c r="H33" s="3" t="s">
        <v>13</v>
      </c>
    </row>
    <row r="34" spans="2:8" x14ac:dyDescent="0.3">
      <c r="B34" s="3" t="s">
        <v>60</v>
      </c>
      <c r="C34" s="4">
        <v>41394</v>
      </c>
      <c r="D34" s="5" t="s">
        <v>28</v>
      </c>
      <c r="E34" s="5">
        <v>10</v>
      </c>
      <c r="F34" s="6">
        <v>3500</v>
      </c>
      <c r="G34" s="6">
        <f t="shared" si="0"/>
        <v>35000</v>
      </c>
      <c r="H34" s="3" t="s">
        <v>9</v>
      </c>
    </row>
    <row r="35" spans="2:8" x14ac:dyDescent="0.3">
      <c r="B35" s="3" t="s">
        <v>61</v>
      </c>
      <c r="C35" s="4">
        <v>41405</v>
      </c>
      <c r="D35" s="5" t="s">
        <v>39</v>
      </c>
      <c r="E35" s="5">
        <v>5</v>
      </c>
      <c r="F35" s="6">
        <v>46000</v>
      </c>
      <c r="G35" s="6">
        <f t="shared" ref="G35:G66" si="1">E35*F35</f>
        <v>230000</v>
      </c>
      <c r="H35" s="3" t="s">
        <v>13</v>
      </c>
    </row>
    <row r="36" spans="2:8" x14ac:dyDescent="0.3">
      <c r="B36" s="3" t="s">
        <v>62</v>
      </c>
      <c r="C36" s="4">
        <v>41412</v>
      </c>
      <c r="D36" s="5" t="s">
        <v>28</v>
      </c>
      <c r="E36" s="5">
        <v>16</v>
      </c>
      <c r="F36" s="6">
        <v>3500</v>
      </c>
      <c r="G36" s="6">
        <f t="shared" si="1"/>
        <v>56000</v>
      </c>
      <c r="H36" s="3" t="s">
        <v>13</v>
      </c>
    </row>
    <row r="37" spans="2:8" x14ac:dyDescent="0.3">
      <c r="B37" s="3" t="s">
        <v>63</v>
      </c>
      <c r="C37" s="4">
        <v>41414</v>
      </c>
      <c r="D37" s="5" t="s">
        <v>28</v>
      </c>
      <c r="E37" s="5">
        <v>20</v>
      </c>
      <c r="F37" s="6">
        <v>3500</v>
      </c>
      <c r="G37" s="6">
        <f t="shared" si="1"/>
        <v>70000</v>
      </c>
      <c r="H37" s="3" t="s">
        <v>24</v>
      </c>
    </row>
    <row r="38" spans="2:8" x14ac:dyDescent="0.3">
      <c r="B38" s="3" t="s">
        <v>64</v>
      </c>
      <c r="C38" s="4">
        <v>41427</v>
      </c>
      <c r="D38" s="5" t="s">
        <v>8</v>
      </c>
      <c r="E38" s="5">
        <v>40</v>
      </c>
      <c r="F38" s="6">
        <v>12750</v>
      </c>
      <c r="G38" s="6">
        <f t="shared" si="1"/>
        <v>510000</v>
      </c>
      <c r="H38" s="3" t="s">
        <v>13</v>
      </c>
    </row>
    <row r="39" spans="2:8" x14ac:dyDescent="0.3">
      <c r="B39" s="3" t="s">
        <v>65</v>
      </c>
      <c r="C39" s="4">
        <v>41433</v>
      </c>
      <c r="D39" s="5" t="s">
        <v>66</v>
      </c>
      <c r="E39" s="5">
        <v>10</v>
      </c>
      <c r="F39" s="6">
        <v>30000</v>
      </c>
      <c r="G39" s="6">
        <f t="shared" si="1"/>
        <v>300000</v>
      </c>
      <c r="H39" s="3" t="s">
        <v>9</v>
      </c>
    </row>
    <row r="40" spans="2:8" x14ac:dyDescent="0.3">
      <c r="B40" s="3" t="s">
        <v>67</v>
      </c>
      <c r="C40" s="4">
        <v>41435</v>
      </c>
      <c r="D40" s="5" t="s">
        <v>15</v>
      </c>
      <c r="E40" s="5">
        <v>10</v>
      </c>
      <c r="F40" s="6">
        <v>9200</v>
      </c>
      <c r="G40" s="6">
        <f t="shared" si="1"/>
        <v>92000</v>
      </c>
      <c r="H40" s="3" t="s">
        <v>13</v>
      </c>
    </row>
    <row r="41" spans="2:8" x14ac:dyDescent="0.3">
      <c r="B41" s="3" t="s">
        <v>68</v>
      </c>
      <c r="C41" s="4">
        <v>41435</v>
      </c>
      <c r="D41" s="5" t="s">
        <v>11</v>
      </c>
      <c r="E41" s="5">
        <v>25</v>
      </c>
      <c r="F41" s="6">
        <v>2990</v>
      </c>
      <c r="G41" s="6">
        <f t="shared" si="1"/>
        <v>74750</v>
      </c>
      <c r="H41" s="3" t="s">
        <v>13</v>
      </c>
    </row>
    <row r="42" spans="2:8" x14ac:dyDescent="0.3">
      <c r="B42" s="3" t="s">
        <v>69</v>
      </c>
      <c r="C42" s="4">
        <v>41436</v>
      </c>
      <c r="D42" s="5" t="s">
        <v>70</v>
      </c>
      <c r="E42" s="5">
        <v>55</v>
      </c>
      <c r="F42" s="6">
        <v>53000</v>
      </c>
      <c r="G42" s="6">
        <f t="shared" si="1"/>
        <v>2915000</v>
      </c>
      <c r="H42" s="3" t="s">
        <v>13</v>
      </c>
    </row>
    <row r="43" spans="2:8" x14ac:dyDescent="0.3">
      <c r="B43" s="3" t="s">
        <v>71</v>
      </c>
      <c r="C43" s="4">
        <v>41438</v>
      </c>
      <c r="D43" s="5" t="s">
        <v>72</v>
      </c>
      <c r="E43" s="5">
        <v>40</v>
      </c>
      <c r="F43" s="6">
        <v>7000</v>
      </c>
      <c r="G43" s="6">
        <f t="shared" si="1"/>
        <v>280000</v>
      </c>
      <c r="H43" s="3" t="s">
        <v>13</v>
      </c>
    </row>
    <row r="44" spans="2:8" x14ac:dyDescent="0.3">
      <c r="B44" s="3" t="s">
        <v>73</v>
      </c>
      <c r="C44" s="4">
        <v>41444</v>
      </c>
      <c r="D44" s="5" t="s">
        <v>70</v>
      </c>
      <c r="E44" s="5">
        <v>10</v>
      </c>
      <c r="F44" s="6">
        <v>53000</v>
      </c>
      <c r="G44" s="6">
        <f t="shared" si="1"/>
        <v>530000</v>
      </c>
      <c r="H44" s="3" t="s">
        <v>9</v>
      </c>
    </row>
    <row r="45" spans="2:8" x14ac:dyDescent="0.3">
      <c r="B45" s="3" t="s">
        <v>74</v>
      </c>
      <c r="C45" s="4">
        <v>41445</v>
      </c>
      <c r="D45" s="5" t="s">
        <v>56</v>
      </c>
      <c r="E45" s="5">
        <v>10</v>
      </c>
      <c r="F45" s="6">
        <v>25000</v>
      </c>
      <c r="G45" s="6">
        <f t="shared" si="1"/>
        <v>250000</v>
      </c>
      <c r="H45" s="3" t="s">
        <v>24</v>
      </c>
    </row>
    <row r="46" spans="2:8" x14ac:dyDescent="0.3">
      <c r="B46" s="3" t="s">
        <v>75</v>
      </c>
      <c r="C46" s="4">
        <v>41455</v>
      </c>
      <c r="D46" s="5" t="s">
        <v>66</v>
      </c>
      <c r="E46" s="5">
        <v>30</v>
      </c>
      <c r="F46" s="6">
        <v>30000</v>
      </c>
      <c r="G46" s="6">
        <f t="shared" si="1"/>
        <v>900000</v>
      </c>
      <c r="H46" s="3" t="s">
        <v>24</v>
      </c>
    </row>
    <row r="47" spans="2:8" x14ac:dyDescent="0.3">
      <c r="B47" s="3" t="s">
        <v>76</v>
      </c>
      <c r="C47" s="4">
        <v>41463</v>
      </c>
      <c r="D47" s="5" t="s">
        <v>15</v>
      </c>
      <c r="E47" s="5">
        <v>35</v>
      </c>
      <c r="F47" s="6">
        <v>9200</v>
      </c>
      <c r="G47" s="6">
        <f t="shared" si="1"/>
        <v>322000</v>
      </c>
      <c r="H47" s="3" t="s">
        <v>13</v>
      </c>
    </row>
    <row r="48" spans="2:8" x14ac:dyDescent="0.3">
      <c r="B48" s="3" t="s">
        <v>77</v>
      </c>
      <c r="C48" s="4">
        <v>41483</v>
      </c>
      <c r="D48" s="5" t="s">
        <v>45</v>
      </c>
      <c r="E48" s="5">
        <v>10</v>
      </c>
      <c r="F48" s="6">
        <v>9650</v>
      </c>
      <c r="G48" s="6">
        <f t="shared" si="1"/>
        <v>96500</v>
      </c>
      <c r="H48" s="3" t="s">
        <v>13</v>
      </c>
    </row>
    <row r="49" spans="2:8" x14ac:dyDescent="0.3">
      <c r="B49" s="3" t="s">
        <v>78</v>
      </c>
      <c r="C49" s="4">
        <v>41486</v>
      </c>
      <c r="D49" s="5" t="s">
        <v>32</v>
      </c>
      <c r="E49" s="5">
        <v>50</v>
      </c>
      <c r="F49" s="6">
        <v>18400</v>
      </c>
      <c r="G49" s="6">
        <f t="shared" si="1"/>
        <v>920000</v>
      </c>
      <c r="H49" s="3" t="s">
        <v>13</v>
      </c>
    </row>
    <row r="50" spans="2:8" x14ac:dyDescent="0.3">
      <c r="B50" s="3" t="s">
        <v>79</v>
      </c>
      <c r="C50" s="4">
        <v>41488</v>
      </c>
      <c r="D50" s="5" t="s">
        <v>32</v>
      </c>
      <c r="E50" s="5">
        <v>30</v>
      </c>
      <c r="F50" s="6">
        <v>18400</v>
      </c>
      <c r="G50" s="6">
        <f t="shared" si="1"/>
        <v>552000</v>
      </c>
      <c r="H50" s="3" t="s">
        <v>9</v>
      </c>
    </row>
    <row r="51" spans="2:8" x14ac:dyDescent="0.3">
      <c r="B51" s="3" t="s">
        <v>80</v>
      </c>
      <c r="C51" s="4">
        <v>41492</v>
      </c>
      <c r="D51" s="5" t="s">
        <v>39</v>
      </c>
      <c r="E51" s="5">
        <v>90</v>
      </c>
      <c r="F51" s="6">
        <v>46000</v>
      </c>
      <c r="G51" s="6">
        <f t="shared" si="1"/>
        <v>4140000</v>
      </c>
      <c r="H51" s="3" t="s">
        <v>13</v>
      </c>
    </row>
    <row r="52" spans="2:8" x14ac:dyDescent="0.3">
      <c r="B52" s="3" t="s">
        <v>81</v>
      </c>
      <c r="C52" s="4">
        <v>41497</v>
      </c>
      <c r="D52" s="5" t="s">
        <v>47</v>
      </c>
      <c r="E52" s="5">
        <v>10</v>
      </c>
      <c r="F52" s="6">
        <v>22000</v>
      </c>
      <c r="G52" s="6">
        <f t="shared" si="1"/>
        <v>220000</v>
      </c>
      <c r="H52" s="3" t="s">
        <v>13</v>
      </c>
    </row>
    <row r="53" spans="2:8" x14ac:dyDescent="0.3">
      <c r="B53" s="3" t="s">
        <v>82</v>
      </c>
      <c r="C53" s="4">
        <v>41499</v>
      </c>
      <c r="D53" s="5" t="s">
        <v>8</v>
      </c>
      <c r="E53" s="5">
        <v>10</v>
      </c>
      <c r="F53" s="6">
        <v>12750</v>
      </c>
      <c r="G53" s="6">
        <f t="shared" si="1"/>
        <v>127500</v>
      </c>
      <c r="H53" s="3" t="s">
        <v>9</v>
      </c>
    </row>
    <row r="54" spans="2:8" x14ac:dyDescent="0.3">
      <c r="B54" s="3" t="s">
        <v>83</v>
      </c>
      <c r="C54" s="4">
        <v>41503</v>
      </c>
      <c r="D54" s="5" t="s">
        <v>37</v>
      </c>
      <c r="E54" s="5">
        <v>5</v>
      </c>
      <c r="F54" s="6">
        <v>38000</v>
      </c>
      <c r="G54" s="6">
        <f t="shared" si="1"/>
        <v>190000</v>
      </c>
      <c r="H54" s="3" t="s">
        <v>24</v>
      </c>
    </row>
    <row r="55" spans="2:8" x14ac:dyDescent="0.3">
      <c r="B55" s="3" t="s">
        <v>84</v>
      </c>
      <c r="C55" s="4">
        <v>41506</v>
      </c>
      <c r="D55" s="5" t="s">
        <v>85</v>
      </c>
      <c r="E55" s="5">
        <v>20</v>
      </c>
      <c r="F55" s="6">
        <v>10000</v>
      </c>
      <c r="G55" s="6">
        <f t="shared" si="1"/>
        <v>200000</v>
      </c>
      <c r="H55" s="3" t="s">
        <v>9</v>
      </c>
    </row>
    <row r="56" spans="2:8" x14ac:dyDescent="0.3">
      <c r="B56" s="3" t="s">
        <v>86</v>
      </c>
      <c r="C56" s="4">
        <v>41520</v>
      </c>
      <c r="D56" s="5" t="s">
        <v>15</v>
      </c>
      <c r="E56" s="5">
        <v>25</v>
      </c>
      <c r="F56" s="6">
        <v>9200</v>
      </c>
      <c r="G56" s="6">
        <f t="shared" si="1"/>
        <v>230000</v>
      </c>
      <c r="H56" s="3" t="s">
        <v>24</v>
      </c>
    </row>
    <row r="57" spans="2:8" x14ac:dyDescent="0.3">
      <c r="B57" s="3" t="s">
        <v>87</v>
      </c>
      <c r="C57" s="4">
        <v>41521</v>
      </c>
      <c r="D57" s="5" t="s">
        <v>45</v>
      </c>
      <c r="E57" s="5">
        <v>30</v>
      </c>
      <c r="F57" s="6">
        <v>9650</v>
      </c>
      <c r="G57" s="6">
        <f t="shared" si="1"/>
        <v>289500</v>
      </c>
      <c r="H57" s="3" t="s">
        <v>9</v>
      </c>
    </row>
    <row r="58" spans="2:8" x14ac:dyDescent="0.3">
      <c r="B58" s="3" t="s">
        <v>88</v>
      </c>
      <c r="C58" s="4">
        <v>41529</v>
      </c>
      <c r="D58" s="5" t="s">
        <v>45</v>
      </c>
      <c r="E58" s="5">
        <v>200</v>
      </c>
      <c r="F58" s="6">
        <v>9650</v>
      </c>
      <c r="G58" s="6">
        <f t="shared" si="1"/>
        <v>1930000</v>
      </c>
      <c r="H58" s="3" t="s">
        <v>9</v>
      </c>
    </row>
    <row r="59" spans="2:8" x14ac:dyDescent="0.3">
      <c r="B59" s="3" t="s">
        <v>89</v>
      </c>
      <c r="C59" s="4">
        <v>41543</v>
      </c>
      <c r="D59" s="5" t="s">
        <v>66</v>
      </c>
      <c r="E59" s="5">
        <v>72</v>
      </c>
      <c r="F59" s="6">
        <v>30000</v>
      </c>
      <c r="G59" s="6">
        <f t="shared" si="1"/>
        <v>2160000</v>
      </c>
      <c r="H59" s="3" t="s">
        <v>9</v>
      </c>
    </row>
    <row r="60" spans="2:8" x14ac:dyDescent="0.3">
      <c r="B60" s="3" t="s">
        <v>90</v>
      </c>
      <c r="C60" s="4">
        <v>41566</v>
      </c>
      <c r="D60" s="5" t="s">
        <v>34</v>
      </c>
      <c r="E60" s="5">
        <v>25</v>
      </c>
      <c r="F60" s="6">
        <v>40000</v>
      </c>
      <c r="G60" s="6">
        <f t="shared" si="1"/>
        <v>1000000</v>
      </c>
      <c r="H60" s="3" t="s">
        <v>9</v>
      </c>
    </row>
    <row r="61" spans="2:8" x14ac:dyDescent="0.3">
      <c r="B61" s="3" t="s">
        <v>91</v>
      </c>
      <c r="C61" s="4">
        <v>41566</v>
      </c>
      <c r="D61" s="5" t="s">
        <v>47</v>
      </c>
      <c r="E61" s="5">
        <v>80</v>
      </c>
      <c r="F61" s="6">
        <v>22000</v>
      </c>
      <c r="G61" s="6">
        <f t="shared" si="1"/>
        <v>1760000</v>
      </c>
      <c r="H61" s="3" t="s">
        <v>13</v>
      </c>
    </row>
    <row r="62" spans="2:8" x14ac:dyDescent="0.3">
      <c r="B62" s="3" t="s">
        <v>92</v>
      </c>
      <c r="C62" s="4">
        <v>41569</v>
      </c>
      <c r="D62" s="5" t="s">
        <v>39</v>
      </c>
      <c r="E62" s="5">
        <v>74</v>
      </c>
      <c r="F62" s="6">
        <v>46000</v>
      </c>
      <c r="G62" s="6">
        <f t="shared" si="1"/>
        <v>3404000</v>
      </c>
      <c r="H62" s="3" t="s">
        <v>9</v>
      </c>
    </row>
    <row r="63" spans="2:8" x14ac:dyDescent="0.3">
      <c r="B63" s="3" t="s">
        <v>93</v>
      </c>
      <c r="C63" s="4">
        <v>41575</v>
      </c>
      <c r="D63" s="5" t="s">
        <v>8</v>
      </c>
      <c r="E63" s="5">
        <v>100</v>
      </c>
      <c r="F63" s="6">
        <v>12750</v>
      </c>
      <c r="G63" s="6">
        <f t="shared" si="1"/>
        <v>1275000</v>
      </c>
      <c r="H63" s="3" t="s">
        <v>9</v>
      </c>
    </row>
    <row r="64" spans="2:8" x14ac:dyDescent="0.3">
      <c r="B64" s="3" t="s">
        <v>94</v>
      </c>
      <c r="C64" s="4">
        <v>41576</v>
      </c>
      <c r="D64" s="5" t="s">
        <v>39</v>
      </c>
      <c r="E64" s="5">
        <v>25</v>
      </c>
      <c r="F64" s="6">
        <v>46000</v>
      </c>
      <c r="G64" s="6">
        <f t="shared" si="1"/>
        <v>1150000</v>
      </c>
      <c r="H64" s="3" t="s">
        <v>9</v>
      </c>
    </row>
    <row r="65" spans="2:8" x14ac:dyDescent="0.3">
      <c r="B65" s="3" t="s">
        <v>95</v>
      </c>
      <c r="C65" s="4">
        <v>41577</v>
      </c>
      <c r="D65" s="5" t="s">
        <v>45</v>
      </c>
      <c r="E65" s="5">
        <v>58</v>
      </c>
      <c r="F65" s="6">
        <v>9650</v>
      </c>
      <c r="G65" s="6">
        <f t="shared" si="1"/>
        <v>559700</v>
      </c>
      <c r="H65" s="3" t="s">
        <v>9</v>
      </c>
    </row>
    <row r="66" spans="2:8" x14ac:dyDescent="0.3">
      <c r="B66" s="3" t="s">
        <v>96</v>
      </c>
      <c r="C66" s="4">
        <v>41579</v>
      </c>
      <c r="D66" s="5" t="s">
        <v>30</v>
      </c>
      <c r="E66" s="5">
        <v>46</v>
      </c>
      <c r="F66" s="6">
        <v>18000</v>
      </c>
      <c r="G66" s="6">
        <f t="shared" si="1"/>
        <v>828000</v>
      </c>
      <c r="H66" s="3" t="s">
        <v>24</v>
      </c>
    </row>
    <row r="67" spans="2:8" x14ac:dyDescent="0.3">
      <c r="B67" s="3" t="s">
        <v>97</v>
      </c>
      <c r="C67" s="4">
        <v>41584</v>
      </c>
      <c r="D67" s="5" t="s">
        <v>34</v>
      </c>
      <c r="E67" s="5">
        <v>3</v>
      </c>
      <c r="F67" s="6">
        <v>40000</v>
      </c>
      <c r="G67" s="6">
        <f t="shared" ref="G67:G78" si="2">E67*F67</f>
        <v>120000</v>
      </c>
      <c r="H67" s="3" t="s">
        <v>9</v>
      </c>
    </row>
    <row r="68" spans="2:8" x14ac:dyDescent="0.3">
      <c r="B68" s="3" t="s">
        <v>98</v>
      </c>
      <c r="C68" s="4">
        <v>41589</v>
      </c>
      <c r="D68" s="5" t="s">
        <v>22</v>
      </c>
      <c r="E68" s="5">
        <v>50</v>
      </c>
      <c r="F68" s="6">
        <v>34800</v>
      </c>
      <c r="G68" s="6">
        <f t="shared" si="2"/>
        <v>1740000</v>
      </c>
      <c r="H68" s="3" t="s">
        <v>13</v>
      </c>
    </row>
    <row r="69" spans="2:8" x14ac:dyDescent="0.3">
      <c r="B69" s="3" t="s">
        <v>99</v>
      </c>
      <c r="C69" s="4">
        <v>41593</v>
      </c>
      <c r="D69" s="5" t="s">
        <v>39</v>
      </c>
      <c r="E69" s="5">
        <v>300</v>
      </c>
      <c r="F69" s="6">
        <v>46000</v>
      </c>
      <c r="G69" s="6">
        <f t="shared" si="2"/>
        <v>13800000</v>
      </c>
      <c r="H69" s="3" t="s">
        <v>24</v>
      </c>
    </row>
    <row r="70" spans="2:8" x14ac:dyDescent="0.3">
      <c r="B70" s="3" t="s">
        <v>100</v>
      </c>
      <c r="C70" s="4">
        <v>41595</v>
      </c>
      <c r="D70" s="5" t="s">
        <v>15</v>
      </c>
      <c r="E70" s="5">
        <v>12</v>
      </c>
      <c r="F70" s="6">
        <v>9200</v>
      </c>
      <c r="G70" s="6">
        <f t="shared" si="2"/>
        <v>110400</v>
      </c>
      <c r="H70" s="3" t="s">
        <v>13</v>
      </c>
    </row>
    <row r="71" spans="2:8" x14ac:dyDescent="0.3">
      <c r="B71" s="3" t="s">
        <v>101</v>
      </c>
      <c r="C71" s="4">
        <v>41599</v>
      </c>
      <c r="D71" s="5" t="s">
        <v>28</v>
      </c>
      <c r="E71" s="5">
        <v>15</v>
      </c>
      <c r="F71" s="6">
        <v>3500</v>
      </c>
      <c r="G71" s="6">
        <f t="shared" si="2"/>
        <v>52500</v>
      </c>
      <c r="H71" s="3" t="s">
        <v>9</v>
      </c>
    </row>
    <row r="72" spans="2:8" x14ac:dyDescent="0.3">
      <c r="B72" s="3" t="s">
        <v>102</v>
      </c>
      <c r="C72" s="4">
        <v>41599</v>
      </c>
      <c r="D72" s="5" t="s">
        <v>56</v>
      </c>
      <c r="E72" s="5">
        <v>39</v>
      </c>
      <c r="F72" s="6">
        <v>25000</v>
      </c>
      <c r="G72" s="6">
        <f t="shared" si="2"/>
        <v>975000</v>
      </c>
      <c r="H72" s="3" t="s">
        <v>24</v>
      </c>
    </row>
    <row r="73" spans="2:8" x14ac:dyDescent="0.3">
      <c r="B73" s="3" t="s">
        <v>103</v>
      </c>
      <c r="C73" s="4">
        <v>41603</v>
      </c>
      <c r="D73" s="5" t="s">
        <v>104</v>
      </c>
      <c r="E73" s="5">
        <v>40</v>
      </c>
      <c r="F73" s="6">
        <v>39000</v>
      </c>
      <c r="G73" s="6">
        <f t="shared" si="2"/>
        <v>1560000</v>
      </c>
      <c r="H73" s="3" t="s">
        <v>9</v>
      </c>
    </row>
    <row r="74" spans="2:8" x14ac:dyDescent="0.3">
      <c r="B74" s="3" t="s">
        <v>105</v>
      </c>
      <c r="C74" s="4">
        <v>41606</v>
      </c>
      <c r="D74" s="5" t="s">
        <v>70</v>
      </c>
      <c r="E74" s="5">
        <v>30</v>
      </c>
      <c r="F74" s="6">
        <v>53000</v>
      </c>
      <c r="G74" s="6">
        <f t="shared" si="2"/>
        <v>1590000</v>
      </c>
      <c r="H74" s="3" t="s">
        <v>9</v>
      </c>
    </row>
    <row r="75" spans="2:8" x14ac:dyDescent="0.3">
      <c r="B75" s="3" t="s">
        <v>106</v>
      </c>
      <c r="C75" s="4">
        <v>41606</v>
      </c>
      <c r="D75" s="5" t="s">
        <v>11</v>
      </c>
      <c r="E75" s="5">
        <v>90</v>
      </c>
      <c r="F75" s="6">
        <v>2990</v>
      </c>
      <c r="G75" s="6">
        <f t="shared" si="2"/>
        <v>269100</v>
      </c>
      <c r="H75" s="3" t="s">
        <v>13</v>
      </c>
    </row>
    <row r="76" spans="2:8" x14ac:dyDescent="0.3">
      <c r="B76" s="3" t="s">
        <v>107</v>
      </c>
      <c r="C76" s="4">
        <v>41623</v>
      </c>
      <c r="D76" s="5" t="s">
        <v>39</v>
      </c>
      <c r="E76" s="5">
        <v>20</v>
      </c>
      <c r="F76" s="6">
        <v>46000</v>
      </c>
      <c r="G76" s="6">
        <f t="shared" si="2"/>
        <v>920000</v>
      </c>
      <c r="H76" s="3" t="s">
        <v>24</v>
      </c>
    </row>
    <row r="77" spans="2:8" x14ac:dyDescent="0.3">
      <c r="B77" s="3" t="s">
        <v>108</v>
      </c>
      <c r="C77" s="4">
        <v>41628</v>
      </c>
      <c r="D77" s="5" t="s">
        <v>28</v>
      </c>
      <c r="E77" s="5">
        <v>31</v>
      </c>
      <c r="F77" s="6">
        <v>3500</v>
      </c>
      <c r="G77" s="6">
        <f t="shared" si="2"/>
        <v>108500</v>
      </c>
      <c r="H77" s="3" t="s">
        <v>9</v>
      </c>
    </row>
    <row r="78" spans="2:8" x14ac:dyDescent="0.3">
      <c r="B78" s="3" t="s">
        <v>109</v>
      </c>
      <c r="C78" s="4">
        <v>41635</v>
      </c>
      <c r="D78" s="5" t="s">
        <v>15</v>
      </c>
      <c r="E78" s="5">
        <v>6</v>
      </c>
      <c r="F78" s="6">
        <v>9200</v>
      </c>
      <c r="G78" s="6">
        <f t="shared" si="2"/>
        <v>55200</v>
      </c>
      <c r="H78" s="3" t="s">
        <v>9</v>
      </c>
    </row>
  </sheetData>
  <sortState ref="B3:H78">
    <sortCondition ref="B3"/>
  </sortState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H82"/>
  <sheetViews>
    <sheetView workbookViewId="0">
      <selection activeCell="B6" sqref="B6"/>
    </sheetView>
  </sheetViews>
  <sheetFormatPr defaultRowHeight="16.5" x14ac:dyDescent="0.3"/>
  <cols>
    <col min="1" max="1" width="3.625" customWidth="1"/>
    <col min="3" max="3" width="8" bestFit="1" customWidth="1"/>
    <col min="4" max="4" width="21.5" bestFit="1" customWidth="1"/>
    <col min="5" max="5" width="6.5" customWidth="1"/>
    <col min="6" max="6" width="7.5" bestFit="1" customWidth="1"/>
    <col min="7" max="7" width="10.5" bestFit="1" customWidth="1"/>
  </cols>
  <sheetData>
    <row r="2" spans="2:8" x14ac:dyDescent="0.3">
      <c r="B2" s="9" t="s">
        <v>0</v>
      </c>
      <c r="C2" s="9" t="s">
        <v>1</v>
      </c>
      <c r="D2" s="10" t="s">
        <v>2</v>
      </c>
      <c r="E2" s="10" t="s">
        <v>3</v>
      </c>
      <c r="F2" s="10" t="s">
        <v>4</v>
      </c>
      <c r="G2" s="10" t="s">
        <v>5</v>
      </c>
      <c r="H2" s="10" t="s">
        <v>6</v>
      </c>
    </row>
    <row r="3" spans="2:8" x14ac:dyDescent="0.3">
      <c r="B3" s="3"/>
      <c r="C3" s="4"/>
      <c r="D3" s="5"/>
      <c r="E3" s="5" t="s">
        <v>112</v>
      </c>
      <c r="F3" s="6"/>
      <c r="G3" s="6"/>
      <c r="H3" s="3" t="s">
        <v>110</v>
      </c>
    </row>
    <row r="4" spans="2:8" x14ac:dyDescent="0.3">
      <c r="B4" s="3"/>
      <c r="C4" s="4"/>
      <c r="D4" s="5"/>
      <c r="E4" s="5" t="s">
        <v>112</v>
      </c>
      <c r="F4" s="6"/>
      <c r="G4" s="6"/>
      <c r="H4" s="3" t="s">
        <v>111</v>
      </c>
    </row>
    <row r="6" spans="2:8" x14ac:dyDescent="0.3">
      <c r="B6" s="1" t="s">
        <v>0</v>
      </c>
      <c r="C6" s="1" t="s">
        <v>1</v>
      </c>
      <c r="D6" s="2" t="s">
        <v>2</v>
      </c>
      <c r="E6" s="2" t="s">
        <v>3</v>
      </c>
      <c r="F6" s="2" t="s">
        <v>4</v>
      </c>
      <c r="G6" s="2" t="s">
        <v>5</v>
      </c>
      <c r="H6" s="2" t="s">
        <v>6</v>
      </c>
    </row>
    <row r="7" spans="2:8" x14ac:dyDescent="0.3">
      <c r="B7" s="3" t="s">
        <v>7</v>
      </c>
      <c r="C7" s="4">
        <v>41277</v>
      </c>
      <c r="D7" s="5" t="s">
        <v>8</v>
      </c>
      <c r="E7" s="5">
        <v>34</v>
      </c>
      <c r="F7" s="6">
        <v>12750</v>
      </c>
      <c r="G7" s="6">
        <f t="shared" ref="G7:G38" si="0">E7*F7</f>
        <v>433500</v>
      </c>
      <c r="H7" s="3" t="s">
        <v>9</v>
      </c>
    </row>
    <row r="8" spans="2:8" x14ac:dyDescent="0.3">
      <c r="B8" s="3" t="s">
        <v>10</v>
      </c>
      <c r="C8" s="4">
        <v>41294</v>
      </c>
      <c r="D8" s="5" t="s">
        <v>11</v>
      </c>
      <c r="E8" s="5">
        <v>50</v>
      </c>
      <c r="F8" s="6">
        <v>2990</v>
      </c>
      <c r="G8" s="6">
        <f t="shared" si="0"/>
        <v>149500</v>
      </c>
      <c r="H8" s="3" t="s">
        <v>9</v>
      </c>
    </row>
    <row r="9" spans="2:8" x14ac:dyDescent="0.3">
      <c r="B9" s="3" t="s">
        <v>12</v>
      </c>
      <c r="C9" s="4">
        <v>41294</v>
      </c>
      <c r="D9" s="5" t="s">
        <v>8</v>
      </c>
      <c r="E9" s="5">
        <v>10</v>
      </c>
      <c r="F9" s="6">
        <v>12750</v>
      </c>
      <c r="G9" s="6">
        <f t="shared" si="0"/>
        <v>127500</v>
      </c>
      <c r="H9" s="3" t="s">
        <v>13</v>
      </c>
    </row>
    <row r="10" spans="2:8" x14ac:dyDescent="0.3">
      <c r="B10" s="3" t="s">
        <v>14</v>
      </c>
      <c r="C10" s="4">
        <v>41299</v>
      </c>
      <c r="D10" s="5" t="s">
        <v>15</v>
      </c>
      <c r="E10" s="5">
        <v>20</v>
      </c>
      <c r="F10" s="6">
        <v>9200</v>
      </c>
      <c r="G10" s="6">
        <f t="shared" si="0"/>
        <v>184000</v>
      </c>
      <c r="H10" s="3" t="s">
        <v>9</v>
      </c>
    </row>
    <row r="11" spans="2:8" x14ac:dyDescent="0.3">
      <c r="B11" s="3" t="s">
        <v>16</v>
      </c>
      <c r="C11" s="4">
        <v>41300</v>
      </c>
      <c r="D11" s="5" t="s">
        <v>15</v>
      </c>
      <c r="E11" s="5">
        <v>30</v>
      </c>
      <c r="F11" s="6">
        <v>9200</v>
      </c>
      <c r="G11" s="6">
        <f t="shared" si="0"/>
        <v>276000</v>
      </c>
      <c r="H11" s="3" t="s">
        <v>13</v>
      </c>
    </row>
    <row r="12" spans="2:8" x14ac:dyDescent="0.3">
      <c r="B12" s="3" t="s">
        <v>17</v>
      </c>
      <c r="C12" s="4">
        <v>41301</v>
      </c>
      <c r="D12" s="5" t="s">
        <v>18</v>
      </c>
      <c r="E12" s="5">
        <v>40</v>
      </c>
      <c r="F12" s="6">
        <v>81000</v>
      </c>
      <c r="G12" s="6">
        <f t="shared" si="0"/>
        <v>3240000</v>
      </c>
      <c r="H12" s="3" t="s">
        <v>9</v>
      </c>
    </row>
    <row r="13" spans="2:8" x14ac:dyDescent="0.3">
      <c r="B13" s="7" t="s">
        <v>19</v>
      </c>
      <c r="C13" s="8">
        <v>41316</v>
      </c>
      <c r="D13" s="5" t="s">
        <v>20</v>
      </c>
      <c r="E13" s="5">
        <v>87</v>
      </c>
      <c r="F13" s="6">
        <v>14000</v>
      </c>
      <c r="G13" s="6">
        <f t="shared" si="0"/>
        <v>1218000</v>
      </c>
      <c r="H13" s="7" t="s">
        <v>13</v>
      </c>
    </row>
    <row r="14" spans="2:8" x14ac:dyDescent="0.3">
      <c r="B14" s="7" t="s">
        <v>21</v>
      </c>
      <c r="C14" s="8">
        <v>41317</v>
      </c>
      <c r="D14" s="5" t="s">
        <v>22</v>
      </c>
      <c r="E14" s="5">
        <v>40</v>
      </c>
      <c r="F14" s="6">
        <v>34800</v>
      </c>
      <c r="G14" s="6">
        <f t="shared" si="0"/>
        <v>1392000</v>
      </c>
      <c r="H14" s="7" t="s">
        <v>9</v>
      </c>
    </row>
    <row r="15" spans="2:8" x14ac:dyDescent="0.3">
      <c r="B15" s="7" t="s">
        <v>23</v>
      </c>
      <c r="C15" s="8">
        <v>41318</v>
      </c>
      <c r="D15" s="5" t="s">
        <v>20</v>
      </c>
      <c r="E15" s="5">
        <v>100</v>
      </c>
      <c r="F15" s="6">
        <v>14000</v>
      </c>
      <c r="G15" s="6">
        <f t="shared" si="0"/>
        <v>1400000</v>
      </c>
      <c r="H15" s="7" t="s">
        <v>24</v>
      </c>
    </row>
    <row r="16" spans="2:8" x14ac:dyDescent="0.3">
      <c r="B16" s="7" t="s">
        <v>25</v>
      </c>
      <c r="C16" s="8">
        <v>41318</v>
      </c>
      <c r="D16" s="5" t="s">
        <v>26</v>
      </c>
      <c r="E16" s="5">
        <v>100</v>
      </c>
      <c r="F16" s="6">
        <v>19500</v>
      </c>
      <c r="G16" s="6">
        <f t="shared" si="0"/>
        <v>1950000</v>
      </c>
      <c r="H16" s="7" t="s">
        <v>13</v>
      </c>
    </row>
    <row r="17" spans="2:8" x14ac:dyDescent="0.3">
      <c r="B17" s="7" t="s">
        <v>27</v>
      </c>
      <c r="C17" s="8">
        <v>41325</v>
      </c>
      <c r="D17" s="5" t="s">
        <v>28</v>
      </c>
      <c r="E17" s="5">
        <v>30</v>
      </c>
      <c r="F17" s="6">
        <v>3500</v>
      </c>
      <c r="G17" s="6">
        <f t="shared" si="0"/>
        <v>105000</v>
      </c>
      <c r="H17" s="7" t="s">
        <v>24</v>
      </c>
    </row>
    <row r="18" spans="2:8" x14ac:dyDescent="0.3">
      <c r="B18" s="3" t="s">
        <v>29</v>
      </c>
      <c r="C18" s="4">
        <v>41328</v>
      </c>
      <c r="D18" s="5" t="s">
        <v>30</v>
      </c>
      <c r="E18" s="5">
        <v>25</v>
      </c>
      <c r="F18" s="6">
        <v>18000</v>
      </c>
      <c r="G18" s="6">
        <f t="shared" si="0"/>
        <v>450000</v>
      </c>
      <c r="H18" s="3" t="s">
        <v>24</v>
      </c>
    </row>
    <row r="19" spans="2:8" x14ac:dyDescent="0.3">
      <c r="B19" s="3" t="s">
        <v>31</v>
      </c>
      <c r="C19" s="4">
        <v>41332</v>
      </c>
      <c r="D19" s="5" t="s">
        <v>32</v>
      </c>
      <c r="E19" s="5">
        <v>40</v>
      </c>
      <c r="F19" s="6">
        <v>18400</v>
      </c>
      <c r="G19" s="6">
        <f t="shared" si="0"/>
        <v>736000</v>
      </c>
      <c r="H19" s="3" t="s">
        <v>9</v>
      </c>
    </row>
    <row r="20" spans="2:8" x14ac:dyDescent="0.3">
      <c r="B20" s="3" t="s">
        <v>33</v>
      </c>
      <c r="C20" s="4">
        <v>41340</v>
      </c>
      <c r="D20" s="5" t="s">
        <v>34</v>
      </c>
      <c r="E20" s="5">
        <v>17</v>
      </c>
      <c r="F20" s="6">
        <v>40000</v>
      </c>
      <c r="G20" s="6">
        <f t="shared" si="0"/>
        <v>680000</v>
      </c>
      <c r="H20" s="3" t="s">
        <v>9</v>
      </c>
    </row>
    <row r="21" spans="2:8" x14ac:dyDescent="0.3">
      <c r="B21" s="3" t="s">
        <v>35</v>
      </c>
      <c r="C21" s="4">
        <v>41340</v>
      </c>
      <c r="D21" s="5" t="s">
        <v>34</v>
      </c>
      <c r="E21" s="5">
        <v>20</v>
      </c>
      <c r="F21" s="6">
        <v>40000</v>
      </c>
      <c r="G21" s="6">
        <f t="shared" si="0"/>
        <v>800000</v>
      </c>
      <c r="H21" s="3" t="s">
        <v>13</v>
      </c>
    </row>
    <row r="22" spans="2:8" x14ac:dyDescent="0.3">
      <c r="B22" s="3" t="s">
        <v>36</v>
      </c>
      <c r="C22" s="4">
        <v>41344</v>
      </c>
      <c r="D22" s="5" t="s">
        <v>37</v>
      </c>
      <c r="E22" s="5">
        <v>10</v>
      </c>
      <c r="F22" s="6">
        <v>38000</v>
      </c>
      <c r="G22" s="6">
        <f t="shared" si="0"/>
        <v>380000</v>
      </c>
      <c r="H22" s="3" t="s">
        <v>9</v>
      </c>
    </row>
    <row r="23" spans="2:8" x14ac:dyDescent="0.3">
      <c r="B23" s="3" t="s">
        <v>38</v>
      </c>
      <c r="C23" s="4">
        <v>41350</v>
      </c>
      <c r="D23" s="5" t="s">
        <v>39</v>
      </c>
      <c r="E23" s="5">
        <v>62</v>
      </c>
      <c r="F23" s="6">
        <v>46000</v>
      </c>
      <c r="G23" s="6">
        <f t="shared" si="0"/>
        <v>2852000</v>
      </c>
      <c r="H23" s="3" t="s">
        <v>9</v>
      </c>
    </row>
    <row r="24" spans="2:8" x14ac:dyDescent="0.3">
      <c r="B24" s="3" t="s">
        <v>40</v>
      </c>
      <c r="C24" s="4">
        <v>41352</v>
      </c>
      <c r="D24" s="5" t="s">
        <v>20</v>
      </c>
      <c r="E24" s="5">
        <v>300</v>
      </c>
      <c r="F24" s="6">
        <v>14000</v>
      </c>
      <c r="G24" s="6">
        <f t="shared" si="0"/>
        <v>4200000</v>
      </c>
      <c r="H24" s="3" t="s">
        <v>24</v>
      </c>
    </row>
    <row r="25" spans="2:8" x14ac:dyDescent="0.3">
      <c r="B25" s="3" t="s">
        <v>41</v>
      </c>
      <c r="C25" s="4">
        <v>41353</v>
      </c>
      <c r="D25" s="5" t="s">
        <v>42</v>
      </c>
      <c r="E25" s="5">
        <v>20</v>
      </c>
      <c r="F25" s="6">
        <v>10000</v>
      </c>
      <c r="G25" s="6">
        <f t="shared" si="0"/>
        <v>200000</v>
      </c>
      <c r="H25" s="3" t="s">
        <v>13</v>
      </c>
    </row>
    <row r="26" spans="2:8" x14ac:dyDescent="0.3">
      <c r="B26" s="3" t="s">
        <v>43</v>
      </c>
      <c r="C26" s="4">
        <v>41354</v>
      </c>
      <c r="D26" s="5" t="s">
        <v>8</v>
      </c>
      <c r="E26" s="5">
        <v>40</v>
      </c>
      <c r="F26" s="6">
        <v>12750</v>
      </c>
      <c r="G26" s="6">
        <f t="shared" si="0"/>
        <v>510000</v>
      </c>
      <c r="H26" s="3" t="s">
        <v>24</v>
      </c>
    </row>
    <row r="27" spans="2:8" x14ac:dyDescent="0.3">
      <c r="B27" s="3" t="s">
        <v>46</v>
      </c>
      <c r="C27" s="4">
        <v>41355</v>
      </c>
      <c r="D27" s="5" t="s">
        <v>47</v>
      </c>
      <c r="E27" s="5">
        <v>30</v>
      </c>
      <c r="F27" s="6">
        <v>22000</v>
      </c>
      <c r="G27" s="6">
        <f t="shared" si="0"/>
        <v>660000</v>
      </c>
      <c r="H27" s="3" t="s">
        <v>9</v>
      </c>
    </row>
    <row r="28" spans="2:8" x14ac:dyDescent="0.3">
      <c r="B28" s="3" t="s">
        <v>44</v>
      </c>
      <c r="C28" s="4">
        <v>41355</v>
      </c>
      <c r="D28" s="5" t="s">
        <v>45</v>
      </c>
      <c r="E28" s="5">
        <v>50</v>
      </c>
      <c r="F28" s="6">
        <v>9650</v>
      </c>
      <c r="G28" s="6">
        <f t="shared" si="0"/>
        <v>482500</v>
      </c>
      <c r="H28" s="3" t="s">
        <v>9</v>
      </c>
    </row>
    <row r="29" spans="2:8" x14ac:dyDescent="0.3">
      <c r="B29" s="3" t="s">
        <v>48</v>
      </c>
      <c r="C29" s="4">
        <v>41356</v>
      </c>
      <c r="D29" s="5" t="s">
        <v>11</v>
      </c>
      <c r="E29" s="5">
        <v>15</v>
      </c>
      <c r="F29" s="6">
        <v>2990</v>
      </c>
      <c r="G29" s="6">
        <f t="shared" si="0"/>
        <v>44850</v>
      </c>
      <c r="H29" s="3" t="s">
        <v>13</v>
      </c>
    </row>
    <row r="30" spans="2:8" x14ac:dyDescent="0.3">
      <c r="B30" s="3" t="s">
        <v>49</v>
      </c>
      <c r="C30" s="4">
        <v>41358</v>
      </c>
      <c r="D30" s="5" t="s">
        <v>11</v>
      </c>
      <c r="E30" s="5">
        <v>200</v>
      </c>
      <c r="F30" s="6">
        <v>2990</v>
      </c>
      <c r="G30" s="6">
        <f t="shared" si="0"/>
        <v>598000</v>
      </c>
      <c r="H30" s="3" t="s">
        <v>24</v>
      </c>
    </row>
    <row r="31" spans="2:8" x14ac:dyDescent="0.3">
      <c r="B31" s="3" t="s">
        <v>50</v>
      </c>
      <c r="C31" s="4">
        <v>41359</v>
      </c>
      <c r="D31" s="5" t="s">
        <v>51</v>
      </c>
      <c r="E31" s="5">
        <v>50</v>
      </c>
      <c r="F31" s="6">
        <v>10000</v>
      </c>
      <c r="G31" s="6">
        <f t="shared" si="0"/>
        <v>500000</v>
      </c>
      <c r="H31" s="3" t="s">
        <v>24</v>
      </c>
    </row>
    <row r="32" spans="2:8" x14ac:dyDescent="0.3">
      <c r="B32" s="3" t="s">
        <v>52</v>
      </c>
      <c r="C32" s="4">
        <v>41360</v>
      </c>
      <c r="D32" s="5" t="s">
        <v>53</v>
      </c>
      <c r="E32" s="5">
        <v>25</v>
      </c>
      <c r="F32" s="6">
        <v>21350</v>
      </c>
      <c r="G32" s="6">
        <f t="shared" si="0"/>
        <v>533750</v>
      </c>
      <c r="H32" s="3" t="s">
        <v>13</v>
      </c>
    </row>
    <row r="33" spans="2:8" x14ac:dyDescent="0.3">
      <c r="B33" s="3" t="s">
        <v>54</v>
      </c>
      <c r="C33" s="4">
        <v>41369</v>
      </c>
      <c r="D33" s="5" t="s">
        <v>34</v>
      </c>
      <c r="E33" s="5">
        <v>57</v>
      </c>
      <c r="F33" s="6">
        <v>40000</v>
      </c>
      <c r="G33" s="6">
        <f t="shared" si="0"/>
        <v>2280000</v>
      </c>
      <c r="H33" s="3" t="s">
        <v>9</v>
      </c>
    </row>
    <row r="34" spans="2:8" x14ac:dyDescent="0.3">
      <c r="B34" s="3" t="s">
        <v>55</v>
      </c>
      <c r="C34" s="4">
        <v>41375</v>
      </c>
      <c r="D34" s="5" t="s">
        <v>56</v>
      </c>
      <c r="E34" s="5">
        <v>90</v>
      </c>
      <c r="F34" s="6">
        <v>25000</v>
      </c>
      <c r="G34" s="6">
        <f t="shared" si="0"/>
        <v>2250000</v>
      </c>
      <c r="H34" s="3" t="s">
        <v>13</v>
      </c>
    </row>
    <row r="35" spans="2:8" x14ac:dyDescent="0.3">
      <c r="B35" s="3" t="s">
        <v>57</v>
      </c>
      <c r="C35" s="4">
        <v>41382</v>
      </c>
      <c r="D35" s="5" t="s">
        <v>8</v>
      </c>
      <c r="E35" s="5">
        <v>90</v>
      </c>
      <c r="F35" s="6">
        <v>12750</v>
      </c>
      <c r="G35" s="6">
        <f t="shared" si="0"/>
        <v>1147500</v>
      </c>
      <c r="H35" s="3" t="s">
        <v>13</v>
      </c>
    </row>
    <row r="36" spans="2:8" x14ac:dyDescent="0.3">
      <c r="B36" s="3" t="s">
        <v>58</v>
      </c>
      <c r="C36" s="4">
        <v>41390</v>
      </c>
      <c r="D36" s="5" t="s">
        <v>30</v>
      </c>
      <c r="E36" s="5">
        <v>15</v>
      </c>
      <c r="F36" s="6">
        <v>18000</v>
      </c>
      <c r="G36" s="6">
        <f t="shared" si="0"/>
        <v>270000</v>
      </c>
      <c r="H36" s="3" t="s">
        <v>13</v>
      </c>
    </row>
    <row r="37" spans="2:8" x14ac:dyDescent="0.3">
      <c r="B37" s="3" t="s">
        <v>59</v>
      </c>
      <c r="C37" s="4">
        <v>41393</v>
      </c>
      <c r="D37" s="5" t="s">
        <v>39</v>
      </c>
      <c r="E37" s="5">
        <v>300</v>
      </c>
      <c r="F37" s="6">
        <v>46000</v>
      </c>
      <c r="G37" s="6">
        <f t="shared" si="0"/>
        <v>13800000</v>
      </c>
      <c r="H37" s="3" t="s">
        <v>13</v>
      </c>
    </row>
    <row r="38" spans="2:8" x14ac:dyDescent="0.3">
      <c r="B38" s="3" t="s">
        <v>60</v>
      </c>
      <c r="C38" s="4">
        <v>41394</v>
      </c>
      <c r="D38" s="5" t="s">
        <v>28</v>
      </c>
      <c r="E38" s="5">
        <v>10</v>
      </c>
      <c r="F38" s="6">
        <v>3500</v>
      </c>
      <c r="G38" s="6">
        <f t="shared" si="0"/>
        <v>35000</v>
      </c>
      <c r="H38" s="3" t="s">
        <v>9</v>
      </c>
    </row>
    <row r="39" spans="2:8" x14ac:dyDescent="0.3">
      <c r="B39" s="3" t="s">
        <v>61</v>
      </c>
      <c r="C39" s="4">
        <v>41405</v>
      </c>
      <c r="D39" s="5" t="s">
        <v>39</v>
      </c>
      <c r="E39" s="5">
        <v>5</v>
      </c>
      <c r="F39" s="6">
        <v>46000</v>
      </c>
      <c r="G39" s="6">
        <f t="shared" ref="G39:G70" si="1">E39*F39</f>
        <v>230000</v>
      </c>
      <c r="H39" s="3" t="s">
        <v>13</v>
      </c>
    </row>
    <row r="40" spans="2:8" x14ac:dyDescent="0.3">
      <c r="B40" s="3" t="s">
        <v>62</v>
      </c>
      <c r="C40" s="4">
        <v>41412</v>
      </c>
      <c r="D40" s="5" t="s">
        <v>28</v>
      </c>
      <c r="E40" s="5">
        <v>16</v>
      </c>
      <c r="F40" s="6">
        <v>3500</v>
      </c>
      <c r="G40" s="6">
        <f t="shared" si="1"/>
        <v>56000</v>
      </c>
      <c r="H40" s="3" t="s">
        <v>13</v>
      </c>
    </row>
    <row r="41" spans="2:8" x14ac:dyDescent="0.3">
      <c r="B41" s="3" t="s">
        <v>63</v>
      </c>
      <c r="C41" s="4">
        <v>41414</v>
      </c>
      <c r="D41" s="5" t="s">
        <v>28</v>
      </c>
      <c r="E41" s="5">
        <v>20</v>
      </c>
      <c r="F41" s="6">
        <v>3500</v>
      </c>
      <c r="G41" s="6">
        <f t="shared" si="1"/>
        <v>70000</v>
      </c>
      <c r="H41" s="3" t="s">
        <v>24</v>
      </c>
    </row>
    <row r="42" spans="2:8" x14ac:dyDescent="0.3">
      <c r="B42" s="3" t="s">
        <v>64</v>
      </c>
      <c r="C42" s="4">
        <v>41427</v>
      </c>
      <c r="D42" s="5" t="s">
        <v>8</v>
      </c>
      <c r="E42" s="5">
        <v>40</v>
      </c>
      <c r="F42" s="6">
        <v>12750</v>
      </c>
      <c r="G42" s="6">
        <f t="shared" si="1"/>
        <v>510000</v>
      </c>
      <c r="H42" s="3" t="s">
        <v>13</v>
      </c>
    </row>
    <row r="43" spans="2:8" x14ac:dyDescent="0.3">
      <c r="B43" s="3" t="s">
        <v>65</v>
      </c>
      <c r="C43" s="4">
        <v>41433</v>
      </c>
      <c r="D43" s="5" t="s">
        <v>66</v>
      </c>
      <c r="E43" s="5">
        <v>10</v>
      </c>
      <c r="F43" s="6">
        <v>30000</v>
      </c>
      <c r="G43" s="6">
        <f t="shared" si="1"/>
        <v>300000</v>
      </c>
      <c r="H43" s="3" t="s">
        <v>9</v>
      </c>
    </row>
    <row r="44" spans="2:8" x14ac:dyDescent="0.3">
      <c r="B44" s="3" t="s">
        <v>68</v>
      </c>
      <c r="C44" s="4">
        <v>41435</v>
      </c>
      <c r="D44" s="5" t="s">
        <v>11</v>
      </c>
      <c r="E44" s="5">
        <v>25</v>
      </c>
      <c r="F44" s="6">
        <v>2990</v>
      </c>
      <c r="G44" s="6">
        <f t="shared" si="1"/>
        <v>74750</v>
      </c>
      <c r="H44" s="3" t="s">
        <v>13</v>
      </c>
    </row>
    <row r="45" spans="2:8" x14ac:dyDescent="0.3">
      <c r="B45" s="3" t="s">
        <v>67</v>
      </c>
      <c r="C45" s="4">
        <v>41435</v>
      </c>
      <c r="D45" s="5" t="s">
        <v>15</v>
      </c>
      <c r="E45" s="5">
        <v>10</v>
      </c>
      <c r="F45" s="6">
        <v>9200</v>
      </c>
      <c r="G45" s="6">
        <f t="shared" si="1"/>
        <v>92000</v>
      </c>
      <c r="H45" s="3" t="s">
        <v>13</v>
      </c>
    </row>
    <row r="46" spans="2:8" x14ac:dyDescent="0.3">
      <c r="B46" s="3" t="s">
        <v>69</v>
      </c>
      <c r="C46" s="4">
        <v>41436</v>
      </c>
      <c r="D46" s="5" t="s">
        <v>70</v>
      </c>
      <c r="E46" s="5">
        <v>55</v>
      </c>
      <c r="F46" s="6">
        <v>53000</v>
      </c>
      <c r="G46" s="6">
        <f t="shared" si="1"/>
        <v>2915000</v>
      </c>
      <c r="H46" s="3" t="s">
        <v>13</v>
      </c>
    </row>
    <row r="47" spans="2:8" x14ac:dyDescent="0.3">
      <c r="B47" s="3" t="s">
        <v>71</v>
      </c>
      <c r="C47" s="4">
        <v>41438</v>
      </c>
      <c r="D47" s="5" t="s">
        <v>72</v>
      </c>
      <c r="E47" s="5">
        <v>40</v>
      </c>
      <c r="F47" s="6">
        <v>7000</v>
      </c>
      <c r="G47" s="6">
        <f t="shared" si="1"/>
        <v>280000</v>
      </c>
      <c r="H47" s="3" t="s">
        <v>13</v>
      </c>
    </row>
    <row r="48" spans="2:8" x14ac:dyDescent="0.3">
      <c r="B48" s="3" t="s">
        <v>73</v>
      </c>
      <c r="C48" s="4">
        <v>41444</v>
      </c>
      <c r="D48" s="5" t="s">
        <v>70</v>
      </c>
      <c r="E48" s="5">
        <v>10</v>
      </c>
      <c r="F48" s="6">
        <v>53000</v>
      </c>
      <c r="G48" s="6">
        <f t="shared" si="1"/>
        <v>530000</v>
      </c>
      <c r="H48" s="3" t="s">
        <v>9</v>
      </c>
    </row>
    <row r="49" spans="2:8" x14ac:dyDescent="0.3">
      <c r="B49" s="3" t="s">
        <v>74</v>
      </c>
      <c r="C49" s="4">
        <v>41445</v>
      </c>
      <c r="D49" s="5" t="s">
        <v>56</v>
      </c>
      <c r="E49" s="5">
        <v>10</v>
      </c>
      <c r="F49" s="6">
        <v>25000</v>
      </c>
      <c r="G49" s="6">
        <f t="shared" si="1"/>
        <v>250000</v>
      </c>
      <c r="H49" s="3" t="s">
        <v>24</v>
      </c>
    </row>
    <row r="50" spans="2:8" x14ac:dyDescent="0.3">
      <c r="B50" s="3" t="s">
        <v>75</v>
      </c>
      <c r="C50" s="4">
        <v>41455</v>
      </c>
      <c r="D50" s="5" t="s">
        <v>66</v>
      </c>
      <c r="E50" s="5">
        <v>30</v>
      </c>
      <c r="F50" s="6">
        <v>30000</v>
      </c>
      <c r="G50" s="6">
        <f t="shared" si="1"/>
        <v>900000</v>
      </c>
      <c r="H50" s="3" t="s">
        <v>24</v>
      </c>
    </row>
    <row r="51" spans="2:8" x14ac:dyDescent="0.3">
      <c r="B51" s="3" t="s">
        <v>76</v>
      </c>
      <c r="C51" s="4">
        <v>41463</v>
      </c>
      <c r="D51" s="5" t="s">
        <v>15</v>
      </c>
      <c r="E51" s="5">
        <v>35</v>
      </c>
      <c r="F51" s="6">
        <v>9200</v>
      </c>
      <c r="G51" s="6">
        <f t="shared" si="1"/>
        <v>322000</v>
      </c>
      <c r="H51" s="3" t="s">
        <v>13</v>
      </c>
    </row>
    <row r="52" spans="2:8" x14ac:dyDescent="0.3">
      <c r="B52" s="3" t="s">
        <v>77</v>
      </c>
      <c r="C52" s="4">
        <v>41483</v>
      </c>
      <c r="D52" s="5" t="s">
        <v>45</v>
      </c>
      <c r="E52" s="5">
        <v>10</v>
      </c>
      <c r="F52" s="6">
        <v>9650</v>
      </c>
      <c r="G52" s="6">
        <f t="shared" si="1"/>
        <v>96500</v>
      </c>
      <c r="H52" s="3" t="s">
        <v>13</v>
      </c>
    </row>
    <row r="53" spans="2:8" x14ac:dyDescent="0.3">
      <c r="B53" s="3" t="s">
        <v>78</v>
      </c>
      <c r="C53" s="4">
        <v>41486</v>
      </c>
      <c r="D53" s="5" t="s">
        <v>32</v>
      </c>
      <c r="E53" s="5">
        <v>50</v>
      </c>
      <c r="F53" s="6">
        <v>18400</v>
      </c>
      <c r="G53" s="6">
        <f t="shared" si="1"/>
        <v>920000</v>
      </c>
      <c r="H53" s="3" t="s">
        <v>13</v>
      </c>
    </row>
    <row r="54" spans="2:8" x14ac:dyDescent="0.3">
      <c r="B54" s="3" t="s">
        <v>79</v>
      </c>
      <c r="C54" s="4">
        <v>41488</v>
      </c>
      <c r="D54" s="5" t="s">
        <v>32</v>
      </c>
      <c r="E54" s="5">
        <v>30</v>
      </c>
      <c r="F54" s="6">
        <v>18400</v>
      </c>
      <c r="G54" s="6">
        <f t="shared" si="1"/>
        <v>552000</v>
      </c>
      <c r="H54" s="3" t="s">
        <v>9</v>
      </c>
    </row>
    <row r="55" spans="2:8" x14ac:dyDescent="0.3">
      <c r="B55" s="3" t="s">
        <v>80</v>
      </c>
      <c r="C55" s="4">
        <v>41492</v>
      </c>
      <c r="D55" s="5" t="s">
        <v>39</v>
      </c>
      <c r="E55" s="5">
        <v>90</v>
      </c>
      <c r="F55" s="6">
        <v>46000</v>
      </c>
      <c r="G55" s="6">
        <f t="shared" si="1"/>
        <v>4140000</v>
      </c>
      <c r="H55" s="3" t="s">
        <v>13</v>
      </c>
    </row>
    <row r="56" spans="2:8" x14ac:dyDescent="0.3">
      <c r="B56" s="3" t="s">
        <v>81</v>
      </c>
      <c r="C56" s="4">
        <v>41497</v>
      </c>
      <c r="D56" s="5" t="s">
        <v>47</v>
      </c>
      <c r="E56" s="5">
        <v>10</v>
      </c>
      <c r="F56" s="6">
        <v>22000</v>
      </c>
      <c r="G56" s="6">
        <f t="shared" si="1"/>
        <v>220000</v>
      </c>
      <c r="H56" s="3" t="s">
        <v>13</v>
      </c>
    </row>
    <row r="57" spans="2:8" x14ac:dyDescent="0.3">
      <c r="B57" s="3" t="s">
        <v>82</v>
      </c>
      <c r="C57" s="4">
        <v>41499</v>
      </c>
      <c r="D57" s="5" t="s">
        <v>8</v>
      </c>
      <c r="E57" s="5">
        <v>10</v>
      </c>
      <c r="F57" s="6">
        <v>12750</v>
      </c>
      <c r="G57" s="6">
        <f t="shared" si="1"/>
        <v>127500</v>
      </c>
      <c r="H57" s="3" t="s">
        <v>9</v>
      </c>
    </row>
    <row r="58" spans="2:8" x14ac:dyDescent="0.3">
      <c r="B58" s="3" t="s">
        <v>83</v>
      </c>
      <c r="C58" s="4">
        <v>41503</v>
      </c>
      <c r="D58" s="5" t="s">
        <v>37</v>
      </c>
      <c r="E58" s="5">
        <v>5</v>
      </c>
      <c r="F58" s="6">
        <v>38000</v>
      </c>
      <c r="G58" s="6">
        <f t="shared" si="1"/>
        <v>190000</v>
      </c>
      <c r="H58" s="3" t="s">
        <v>24</v>
      </c>
    </row>
    <row r="59" spans="2:8" x14ac:dyDescent="0.3">
      <c r="B59" s="3" t="s">
        <v>84</v>
      </c>
      <c r="C59" s="4">
        <v>41506</v>
      </c>
      <c r="D59" s="5" t="s">
        <v>85</v>
      </c>
      <c r="E59" s="5">
        <v>20</v>
      </c>
      <c r="F59" s="6">
        <v>10000</v>
      </c>
      <c r="G59" s="6">
        <f t="shared" si="1"/>
        <v>200000</v>
      </c>
      <c r="H59" s="3" t="s">
        <v>9</v>
      </c>
    </row>
    <row r="60" spans="2:8" x14ac:dyDescent="0.3">
      <c r="B60" s="3" t="s">
        <v>86</v>
      </c>
      <c r="C60" s="4">
        <v>41520</v>
      </c>
      <c r="D60" s="5" t="s">
        <v>15</v>
      </c>
      <c r="E60" s="5">
        <v>25</v>
      </c>
      <c r="F60" s="6">
        <v>9200</v>
      </c>
      <c r="G60" s="6">
        <f t="shared" si="1"/>
        <v>230000</v>
      </c>
      <c r="H60" s="3" t="s">
        <v>24</v>
      </c>
    </row>
    <row r="61" spans="2:8" x14ac:dyDescent="0.3">
      <c r="B61" s="3" t="s">
        <v>87</v>
      </c>
      <c r="C61" s="4">
        <v>41521</v>
      </c>
      <c r="D61" s="5" t="s">
        <v>45</v>
      </c>
      <c r="E61" s="5">
        <v>30</v>
      </c>
      <c r="F61" s="6">
        <v>9650</v>
      </c>
      <c r="G61" s="6">
        <f t="shared" si="1"/>
        <v>289500</v>
      </c>
      <c r="H61" s="3" t="s">
        <v>9</v>
      </c>
    </row>
    <row r="62" spans="2:8" x14ac:dyDescent="0.3">
      <c r="B62" s="3" t="s">
        <v>88</v>
      </c>
      <c r="C62" s="4">
        <v>41529</v>
      </c>
      <c r="D62" s="5" t="s">
        <v>45</v>
      </c>
      <c r="E62" s="5">
        <v>200</v>
      </c>
      <c r="F62" s="6">
        <v>9650</v>
      </c>
      <c r="G62" s="6">
        <f t="shared" si="1"/>
        <v>1930000</v>
      </c>
      <c r="H62" s="3" t="s">
        <v>9</v>
      </c>
    </row>
    <row r="63" spans="2:8" x14ac:dyDescent="0.3">
      <c r="B63" s="3" t="s">
        <v>89</v>
      </c>
      <c r="C63" s="4">
        <v>41543</v>
      </c>
      <c r="D63" s="5" t="s">
        <v>66</v>
      </c>
      <c r="E63" s="5">
        <v>72</v>
      </c>
      <c r="F63" s="6">
        <v>30000</v>
      </c>
      <c r="G63" s="6">
        <f t="shared" si="1"/>
        <v>2160000</v>
      </c>
      <c r="H63" s="3" t="s">
        <v>9</v>
      </c>
    </row>
    <row r="64" spans="2:8" x14ac:dyDescent="0.3">
      <c r="B64" s="3" t="s">
        <v>90</v>
      </c>
      <c r="C64" s="4">
        <v>41566</v>
      </c>
      <c r="D64" s="5" t="s">
        <v>34</v>
      </c>
      <c r="E64" s="5">
        <v>25</v>
      </c>
      <c r="F64" s="6">
        <v>40000</v>
      </c>
      <c r="G64" s="6">
        <f t="shared" si="1"/>
        <v>1000000</v>
      </c>
      <c r="H64" s="3" t="s">
        <v>9</v>
      </c>
    </row>
    <row r="65" spans="2:8" x14ac:dyDescent="0.3">
      <c r="B65" s="3" t="s">
        <v>91</v>
      </c>
      <c r="C65" s="4">
        <v>41566</v>
      </c>
      <c r="D65" s="5" t="s">
        <v>47</v>
      </c>
      <c r="E65" s="5">
        <v>80</v>
      </c>
      <c r="F65" s="6">
        <v>22000</v>
      </c>
      <c r="G65" s="6">
        <f t="shared" si="1"/>
        <v>1760000</v>
      </c>
      <c r="H65" s="3" t="s">
        <v>13</v>
      </c>
    </row>
    <row r="66" spans="2:8" x14ac:dyDescent="0.3">
      <c r="B66" s="3" t="s">
        <v>92</v>
      </c>
      <c r="C66" s="4">
        <v>41569</v>
      </c>
      <c r="D66" s="5" t="s">
        <v>39</v>
      </c>
      <c r="E66" s="5">
        <v>74</v>
      </c>
      <c r="F66" s="6">
        <v>46000</v>
      </c>
      <c r="G66" s="6">
        <f t="shared" si="1"/>
        <v>3404000</v>
      </c>
      <c r="H66" s="3" t="s">
        <v>9</v>
      </c>
    </row>
    <row r="67" spans="2:8" x14ac:dyDescent="0.3">
      <c r="B67" s="3" t="s">
        <v>93</v>
      </c>
      <c r="C67" s="4">
        <v>41575</v>
      </c>
      <c r="D67" s="5" t="s">
        <v>8</v>
      </c>
      <c r="E67" s="5">
        <v>100</v>
      </c>
      <c r="F67" s="6">
        <v>12750</v>
      </c>
      <c r="G67" s="6">
        <f t="shared" si="1"/>
        <v>1275000</v>
      </c>
      <c r="H67" s="3" t="s">
        <v>9</v>
      </c>
    </row>
    <row r="68" spans="2:8" x14ac:dyDescent="0.3">
      <c r="B68" s="3" t="s">
        <v>94</v>
      </c>
      <c r="C68" s="4">
        <v>41576</v>
      </c>
      <c r="D68" s="5" t="s">
        <v>39</v>
      </c>
      <c r="E68" s="5">
        <v>25</v>
      </c>
      <c r="F68" s="6">
        <v>46000</v>
      </c>
      <c r="G68" s="6">
        <f t="shared" si="1"/>
        <v>1150000</v>
      </c>
      <c r="H68" s="3" t="s">
        <v>9</v>
      </c>
    </row>
    <row r="69" spans="2:8" x14ac:dyDescent="0.3">
      <c r="B69" s="3" t="s">
        <v>95</v>
      </c>
      <c r="C69" s="4">
        <v>41577</v>
      </c>
      <c r="D69" s="5" t="s">
        <v>45</v>
      </c>
      <c r="E69" s="5">
        <v>58</v>
      </c>
      <c r="F69" s="6">
        <v>9650</v>
      </c>
      <c r="G69" s="6">
        <f t="shared" si="1"/>
        <v>559700</v>
      </c>
      <c r="H69" s="3" t="s">
        <v>9</v>
      </c>
    </row>
    <row r="70" spans="2:8" x14ac:dyDescent="0.3">
      <c r="B70" s="3" t="s">
        <v>96</v>
      </c>
      <c r="C70" s="4">
        <v>41579</v>
      </c>
      <c r="D70" s="5" t="s">
        <v>30</v>
      </c>
      <c r="E70" s="5">
        <v>46</v>
      </c>
      <c r="F70" s="6">
        <v>18000</v>
      </c>
      <c r="G70" s="6">
        <f t="shared" si="1"/>
        <v>828000</v>
      </c>
      <c r="H70" s="3" t="s">
        <v>24</v>
      </c>
    </row>
    <row r="71" spans="2:8" x14ac:dyDescent="0.3">
      <c r="B71" s="3" t="s">
        <v>97</v>
      </c>
      <c r="C71" s="4">
        <v>41584</v>
      </c>
      <c r="D71" s="5" t="s">
        <v>34</v>
      </c>
      <c r="E71" s="5">
        <v>3</v>
      </c>
      <c r="F71" s="6">
        <v>40000</v>
      </c>
      <c r="G71" s="6">
        <f t="shared" ref="G71:G82" si="2">E71*F71</f>
        <v>120000</v>
      </c>
      <c r="H71" s="3" t="s">
        <v>9</v>
      </c>
    </row>
    <row r="72" spans="2:8" x14ac:dyDescent="0.3">
      <c r="B72" s="3" t="s">
        <v>98</v>
      </c>
      <c r="C72" s="4">
        <v>41589</v>
      </c>
      <c r="D72" s="5" t="s">
        <v>22</v>
      </c>
      <c r="E72" s="5">
        <v>50</v>
      </c>
      <c r="F72" s="6">
        <v>34800</v>
      </c>
      <c r="G72" s="6">
        <f t="shared" si="2"/>
        <v>1740000</v>
      </c>
      <c r="H72" s="3" t="s">
        <v>13</v>
      </c>
    </row>
    <row r="73" spans="2:8" x14ac:dyDescent="0.3">
      <c r="B73" s="3" t="s">
        <v>99</v>
      </c>
      <c r="C73" s="4">
        <v>41593</v>
      </c>
      <c r="D73" s="5" t="s">
        <v>39</v>
      </c>
      <c r="E73" s="5">
        <v>300</v>
      </c>
      <c r="F73" s="6">
        <v>46000</v>
      </c>
      <c r="G73" s="6">
        <f t="shared" si="2"/>
        <v>13800000</v>
      </c>
      <c r="H73" s="3" t="s">
        <v>24</v>
      </c>
    </row>
    <row r="74" spans="2:8" x14ac:dyDescent="0.3">
      <c r="B74" s="3" t="s">
        <v>100</v>
      </c>
      <c r="C74" s="4">
        <v>41595</v>
      </c>
      <c r="D74" s="5" t="s">
        <v>15</v>
      </c>
      <c r="E74" s="5">
        <v>12</v>
      </c>
      <c r="F74" s="6">
        <v>9200</v>
      </c>
      <c r="G74" s="6">
        <f t="shared" si="2"/>
        <v>110400</v>
      </c>
      <c r="H74" s="3" t="s">
        <v>13</v>
      </c>
    </row>
    <row r="75" spans="2:8" x14ac:dyDescent="0.3">
      <c r="B75" s="3" t="s">
        <v>102</v>
      </c>
      <c r="C75" s="4">
        <v>41599</v>
      </c>
      <c r="D75" s="5" t="s">
        <v>56</v>
      </c>
      <c r="E75" s="5">
        <v>39</v>
      </c>
      <c r="F75" s="6">
        <v>25000</v>
      </c>
      <c r="G75" s="6">
        <f t="shared" si="2"/>
        <v>975000</v>
      </c>
      <c r="H75" s="3" t="s">
        <v>24</v>
      </c>
    </row>
    <row r="76" spans="2:8" x14ac:dyDescent="0.3">
      <c r="B76" s="3" t="s">
        <v>101</v>
      </c>
      <c r="C76" s="4">
        <v>41599</v>
      </c>
      <c r="D76" s="5" t="s">
        <v>28</v>
      </c>
      <c r="E76" s="5">
        <v>15</v>
      </c>
      <c r="F76" s="6">
        <v>3500</v>
      </c>
      <c r="G76" s="6">
        <f t="shared" si="2"/>
        <v>52500</v>
      </c>
      <c r="H76" s="3" t="s">
        <v>9</v>
      </c>
    </row>
    <row r="77" spans="2:8" x14ac:dyDescent="0.3">
      <c r="B77" s="3" t="s">
        <v>103</v>
      </c>
      <c r="C77" s="4">
        <v>41603</v>
      </c>
      <c r="D77" s="5" t="s">
        <v>104</v>
      </c>
      <c r="E77" s="5">
        <v>40</v>
      </c>
      <c r="F77" s="6">
        <v>39000</v>
      </c>
      <c r="G77" s="6">
        <f t="shared" si="2"/>
        <v>1560000</v>
      </c>
      <c r="H77" s="3" t="s">
        <v>9</v>
      </c>
    </row>
    <row r="78" spans="2:8" x14ac:dyDescent="0.3">
      <c r="B78" s="3" t="s">
        <v>105</v>
      </c>
      <c r="C78" s="4">
        <v>41606</v>
      </c>
      <c r="D78" s="5" t="s">
        <v>70</v>
      </c>
      <c r="E78" s="5">
        <v>30</v>
      </c>
      <c r="F78" s="6">
        <v>53000</v>
      </c>
      <c r="G78" s="6">
        <f t="shared" si="2"/>
        <v>1590000</v>
      </c>
      <c r="H78" s="3" t="s">
        <v>9</v>
      </c>
    </row>
    <row r="79" spans="2:8" x14ac:dyDescent="0.3">
      <c r="B79" s="3" t="s">
        <v>106</v>
      </c>
      <c r="C79" s="4">
        <v>41606</v>
      </c>
      <c r="D79" s="5" t="s">
        <v>11</v>
      </c>
      <c r="E79" s="5">
        <v>90</v>
      </c>
      <c r="F79" s="6">
        <v>2990</v>
      </c>
      <c r="G79" s="6">
        <f t="shared" si="2"/>
        <v>269100</v>
      </c>
      <c r="H79" s="3" t="s">
        <v>13</v>
      </c>
    </row>
    <row r="80" spans="2:8" x14ac:dyDescent="0.3">
      <c r="B80" s="3" t="s">
        <v>107</v>
      </c>
      <c r="C80" s="4">
        <v>41623</v>
      </c>
      <c r="D80" s="5" t="s">
        <v>39</v>
      </c>
      <c r="E80" s="5">
        <v>20</v>
      </c>
      <c r="F80" s="6">
        <v>46000</v>
      </c>
      <c r="G80" s="6">
        <f t="shared" si="2"/>
        <v>920000</v>
      </c>
      <c r="H80" s="3" t="s">
        <v>24</v>
      </c>
    </row>
    <row r="81" spans="2:8" x14ac:dyDescent="0.3">
      <c r="B81" s="3" t="s">
        <v>108</v>
      </c>
      <c r="C81" s="4">
        <v>41628</v>
      </c>
      <c r="D81" s="5" t="s">
        <v>28</v>
      </c>
      <c r="E81" s="5">
        <v>31</v>
      </c>
      <c r="F81" s="6">
        <v>3500</v>
      </c>
      <c r="G81" s="6">
        <f t="shared" si="2"/>
        <v>108500</v>
      </c>
      <c r="H81" s="3" t="s">
        <v>9</v>
      </c>
    </row>
    <row r="82" spans="2:8" x14ac:dyDescent="0.3">
      <c r="B82" s="3" t="s">
        <v>109</v>
      </c>
      <c r="C82" s="4">
        <v>41635</v>
      </c>
      <c r="D82" s="5" t="s">
        <v>15</v>
      </c>
      <c r="E82" s="5">
        <v>6</v>
      </c>
      <c r="F82" s="6">
        <v>9200</v>
      </c>
      <c r="G82" s="6">
        <f t="shared" si="2"/>
        <v>55200</v>
      </c>
      <c r="H82" s="3" t="s">
        <v>9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2" sqref="B2"/>
    </sheetView>
  </sheetViews>
  <sheetFormatPr defaultRowHeight="16.5" x14ac:dyDescent="0.3"/>
  <cols>
    <col min="1" max="1" width="3.625" customWidth="1"/>
    <col min="3" max="3" width="8" bestFit="1" customWidth="1"/>
    <col min="4" max="4" width="21.5" bestFit="1" customWidth="1"/>
    <col min="5" max="5" width="6.5" customWidth="1"/>
    <col min="6" max="6" width="7.5" bestFit="1" customWidth="1"/>
    <col min="7" max="7" width="10.5" bestFit="1" customWidth="1"/>
  </cols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2"/>
  <sheetViews>
    <sheetView workbookViewId="0">
      <selection activeCell="B2" sqref="B2"/>
    </sheetView>
  </sheetViews>
  <sheetFormatPr defaultRowHeight="16.5" x14ac:dyDescent="0.3"/>
  <cols>
    <col min="1" max="1" width="3.625" customWidth="1"/>
    <col min="2" max="2" width="8" bestFit="1" customWidth="1"/>
    <col min="3" max="3" width="21.5" bestFit="1" customWidth="1"/>
    <col min="4" max="4" width="6.5" customWidth="1"/>
  </cols>
  <sheetData>
    <row r="2" spans="2:5" x14ac:dyDescent="0.3">
      <c r="B2" s="1" t="s">
        <v>1</v>
      </c>
      <c r="C2" s="2" t="s">
        <v>2</v>
      </c>
      <c r="D2" s="2" t="s">
        <v>3</v>
      </c>
      <c r="E2" s="2" t="s">
        <v>6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G12"/>
  <sheetViews>
    <sheetView workbookViewId="0">
      <selection activeCell="B2" sqref="B2"/>
    </sheetView>
  </sheetViews>
  <sheetFormatPr defaultRowHeight="16.5" x14ac:dyDescent="0.3"/>
  <cols>
    <col min="1" max="1" width="3.625" customWidth="1"/>
    <col min="2" max="2" width="8" bestFit="1" customWidth="1"/>
    <col min="3" max="3" width="21.5" bestFit="1" customWidth="1"/>
    <col min="4" max="4" width="6.5" customWidth="1"/>
    <col min="5" max="5" width="7.5" bestFit="1" customWidth="1"/>
    <col min="6" max="6" width="10.5" bestFit="1" customWidth="1"/>
  </cols>
  <sheetData>
    <row r="2" spans="2:7" x14ac:dyDescent="0.3">
      <c r="B2" s="1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</row>
    <row r="3" spans="2:7" x14ac:dyDescent="0.3">
      <c r="B3" s="4">
        <v>41340</v>
      </c>
      <c r="C3" s="5" t="s">
        <v>34</v>
      </c>
      <c r="D3" s="6">
        <v>20</v>
      </c>
      <c r="E3" s="6">
        <v>40000</v>
      </c>
      <c r="F3" s="6">
        <f t="shared" ref="F3:F12" si="0">D3*E3</f>
        <v>800000</v>
      </c>
      <c r="G3" s="3" t="s">
        <v>13</v>
      </c>
    </row>
    <row r="4" spans="2:7" x14ac:dyDescent="0.3">
      <c r="B4" s="4">
        <v>41353</v>
      </c>
      <c r="C4" s="5" t="s">
        <v>42</v>
      </c>
      <c r="D4" s="6">
        <v>20</v>
      </c>
      <c r="E4" s="6">
        <v>10000</v>
      </c>
      <c r="F4" s="6">
        <f t="shared" si="0"/>
        <v>200000</v>
      </c>
      <c r="G4" s="3" t="s">
        <v>13</v>
      </c>
    </row>
    <row r="5" spans="2:7" x14ac:dyDescent="0.3">
      <c r="B5" s="4">
        <v>41356</v>
      </c>
      <c r="C5" s="5" t="s">
        <v>11</v>
      </c>
      <c r="D5" s="6">
        <v>15</v>
      </c>
      <c r="E5" s="6">
        <v>2990</v>
      </c>
      <c r="F5" s="6">
        <f t="shared" si="0"/>
        <v>44850</v>
      </c>
      <c r="G5" s="3" t="s">
        <v>13</v>
      </c>
    </row>
    <row r="6" spans="2:7" x14ac:dyDescent="0.3">
      <c r="B6" s="4">
        <v>41360</v>
      </c>
      <c r="C6" s="5" t="s">
        <v>53</v>
      </c>
      <c r="D6" s="6">
        <v>25</v>
      </c>
      <c r="E6" s="6">
        <v>21350</v>
      </c>
      <c r="F6" s="6">
        <f t="shared" si="0"/>
        <v>533750</v>
      </c>
      <c r="G6" s="3" t="s">
        <v>13</v>
      </c>
    </row>
    <row r="7" spans="2:7" x14ac:dyDescent="0.3">
      <c r="B7" s="4">
        <v>41352</v>
      </c>
      <c r="C7" s="5" t="s">
        <v>20</v>
      </c>
      <c r="D7" s="6">
        <v>300</v>
      </c>
      <c r="E7" s="6">
        <v>14000</v>
      </c>
      <c r="F7" s="6">
        <f t="shared" si="0"/>
        <v>4200000</v>
      </c>
      <c r="G7" s="3" t="s">
        <v>24</v>
      </c>
    </row>
    <row r="8" spans="2:7" x14ac:dyDescent="0.3">
      <c r="B8" s="4">
        <v>41358</v>
      </c>
      <c r="C8" s="5" t="s">
        <v>11</v>
      </c>
      <c r="D8" s="6">
        <v>200</v>
      </c>
      <c r="E8" s="6">
        <v>2990</v>
      </c>
      <c r="F8" s="6">
        <f t="shared" si="0"/>
        <v>598000</v>
      </c>
      <c r="G8" s="3" t="s">
        <v>24</v>
      </c>
    </row>
    <row r="9" spans="2:7" x14ac:dyDescent="0.3">
      <c r="B9" s="4">
        <v>41359</v>
      </c>
      <c r="C9" s="5" t="s">
        <v>51</v>
      </c>
      <c r="D9" s="6">
        <v>50</v>
      </c>
      <c r="E9" s="6">
        <v>10000</v>
      </c>
      <c r="F9" s="6">
        <f t="shared" si="0"/>
        <v>500000</v>
      </c>
      <c r="G9" s="3" t="s">
        <v>24</v>
      </c>
    </row>
    <row r="10" spans="2:7" x14ac:dyDescent="0.3">
      <c r="B10" s="4">
        <v>41340</v>
      </c>
      <c r="C10" s="5" t="s">
        <v>34</v>
      </c>
      <c r="D10" s="6">
        <v>17</v>
      </c>
      <c r="E10" s="6">
        <v>40000</v>
      </c>
      <c r="F10" s="6">
        <f t="shared" si="0"/>
        <v>680000</v>
      </c>
      <c r="G10" s="3" t="s">
        <v>9</v>
      </c>
    </row>
    <row r="11" spans="2:7" x14ac:dyDescent="0.3">
      <c r="B11" s="4">
        <v>41344</v>
      </c>
      <c r="C11" s="5" t="s">
        <v>37</v>
      </c>
      <c r="D11" s="6">
        <v>10</v>
      </c>
      <c r="E11" s="6">
        <v>38000</v>
      </c>
      <c r="F11" s="6">
        <f t="shared" si="0"/>
        <v>380000</v>
      </c>
      <c r="G11" s="3" t="s">
        <v>9</v>
      </c>
    </row>
    <row r="12" spans="2:7" x14ac:dyDescent="0.3">
      <c r="B12" s="4">
        <v>41350</v>
      </c>
      <c r="C12" s="5" t="s">
        <v>39</v>
      </c>
      <c r="D12" s="6">
        <v>62</v>
      </c>
      <c r="E12" s="6">
        <v>46000</v>
      </c>
      <c r="F12" s="6">
        <f t="shared" si="0"/>
        <v>2852000</v>
      </c>
      <c r="G12" s="3" t="s">
        <v>9</v>
      </c>
    </row>
  </sheetData>
  <sortState ref="B3:G12">
    <sortCondition ref="G2"/>
  </sortState>
  <phoneticPr fontId="2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I78"/>
  <sheetViews>
    <sheetView workbookViewId="0">
      <selection activeCell="C15" sqref="C15"/>
    </sheetView>
  </sheetViews>
  <sheetFormatPr defaultRowHeight="15.95" customHeight="1" x14ac:dyDescent="0.3"/>
  <cols>
    <col min="1" max="1" width="3.625" style="12" customWidth="1"/>
    <col min="2" max="2" width="8" style="12" bestFit="1" customWidth="1"/>
    <col min="3" max="3" width="21.5" style="12" bestFit="1" customWidth="1"/>
    <col min="4" max="5" width="8.625" style="12" bestFit="1" customWidth="1"/>
    <col min="6" max="6" width="6.5" style="12" customWidth="1"/>
    <col min="7" max="7" width="7.5" style="12" bestFit="1" customWidth="1"/>
    <col min="8" max="8" width="10.5" style="12" bestFit="1" customWidth="1"/>
    <col min="9" max="16384" width="9" style="12"/>
  </cols>
  <sheetData>
    <row r="2" spans="2:9" ht="15.95" customHeight="1" x14ac:dyDescent="0.3">
      <c r="B2" s="11" t="s">
        <v>1</v>
      </c>
      <c r="C2" s="2" t="s">
        <v>2</v>
      </c>
      <c r="D2" s="2" t="s">
        <v>122</v>
      </c>
      <c r="E2" s="2" t="s">
        <v>123</v>
      </c>
      <c r="F2" s="2" t="s">
        <v>3</v>
      </c>
      <c r="G2" s="2" t="s">
        <v>4</v>
      </c>
      <c r="H2" s="2" t="s">
        <v>5</v>
      </c>
      <c r="I2" s="2" t="s">
        <v>6</v>
      </c>
    </row>
    <row r="3" spans="2:9" ht="15.95" customHeight="1" x14ac:dyDescent="0.3">
      <c r="B3" s="4">
        <v>41277</v>
      </c>
      <c r="C3" s="5" t="s">
        <v>8</v>
      </c>
      <c r="D3" s="5" t="s">
        <v>118</v>
      </c>
      <c r="E3" s="5" t="s">
        <v>125</v>
      </c>
      <c r="F3" s="5">
        <v>34</v>
      </c>
      <c r="G3" s="6">
        <v>12750</v>
      </c>
      <c r="H3" s="6">
        <f t="shared" ref="H3:H66" si="0">F3*G3</f>
        <v>433500</v>
      </c>
      <c r="I3" s="13" t="s">
        <v>9</v>
      </c>
    </row>
    <row r="4" spans="2:9" ht="15.95" customHeight="1" x14ac:dyDescent="0.3">
      <c r="B4" s="4">
        <v>41294</v>
      </c>
      <c r="C4" s="5" t="s">
        <v>11</v>
      </c>
      <c r="D4" s="5" t="s">
        <v>114</v>
      </c>
      <c r="E4" s="5" t="s">
        <v>132</v>
      </c>
      <c r="F4" s="5">
        <v>50</v>
      </c>
      <c r="G4" s="6">
        <v>2990</v>
      </c>
      <c r="H4" s="6">
        <f t="shared" si="0"/>
        <v>149500</v>
      </c>
      <c r="I4" s="13" t="s">
        <v>9</v>
      </c>
    </row>
    <row r="5" spans="2:9" ht="15.95" customHeight="1" x14ac:dyDescent="0.3">
      <c r="B5" s="4">
        <v>41294</v>
      </c>
      <c r="C5" s="5" t="s">
        <v>8</v>
      </c>
      <c r="D5" s="5" t="s">
        <v>118</v>
      </c>
      <c r="E5" s="5" t="s">
        <v>125</v>
      </c>
      <c r="F5" s="5">
        <v>10</v>
      </c>
      <c r="G5" s="6">
        <v>12750</v>
      </c>
      <c r="H5" s="6">
        <f t="shared" si="0"/>
        <v>127500</v>
      </c>
      <c r="I5" s="13" t="s">
        <v>13</v>
      </c>
    </row>
    <row r="6" spans="2:9" ht="15.95" customHeight="1" x14ac:dyDescent="0.3">
      <c r="B6" s="4">
        <v>41299</v>
      </c>
      <c r="C6" s="5" t="s">
        <v>15</v>
      </c>
      <c r="D6" s="5" t="s">
        <v>118</v>
      </c>
      <c r="E6" s="5" t="s">
        <v>129</v>
      </c>
      <c r="F6" s="5">
        <v>20</v>
      </c>
      <c r="G6" s="6">
        <v>9200</v>
      </c>
      <c r="H6" s="6">
        <f t="shared" si="0"/>
        <v>184000</v>
      </c>
      <c r="I6" s="13" t="s">
        <v>9</v>
      </c>
    </row>
    <row r="7" spans="2:9" ht="15.95" customHeight="1" x14ac:dyDescent="0.3">
      <c r="B7" s="4">
        <v>41300</v>
      </c>
      <c r="C7" s="5" t="s">
        <v>15</v>
      </c>
      <c r="D7" s="5" t="s">
        <v>118</v>
      </c>
      <c r="E7" s="5" t="s">
        <v>129</v>
      </c>
      <c r="F7" s="5">
        <v>30</v>
      </c>
      <c r="G7" s="6">
        <v>9200</v>
      </c>
      <c r="H7" s="6">
        <f t="shared" si="0"/>
        <v>276000</v>
      </c>
      <c r="I7" s="13" t="s">
        <v>13</v>
      </c>
    </row>
    <row r="8" spans="2:9" ht="15.95" customHeight="1" x14ac:dyDescent="0.3">
      <c r="B8" s="4">
        <v>41301</v>
      </c>
      <c r="C8" s="5" t="s">
        <v>18</v>
      </c>
      <c r="D8" s="5" t="s">
        <v>118</v>
      </c>
      <c r="E8" s="5" t="s">
        <v>126</v>
      </c>
      <c r="F8" s="5">
        <v>40</v>
      </c>
      <c r="G8" s="6">
        <v>81000</v>
      </c>
      <c r="H8" s="6">
        <f t="shared" si="0"/>
        <v>3240000</v>
      </c>
      <c r="I8" s="13" t="s">
        <v>9</v>
      </c>
    </row>
    <row r="9" spans="2:9" ht="15.95" customHeight="1" x14ac:dyDescent="0.3">
      <c r="B9" s="8">
        <v>41316</v>
      </c>
      <c r="C9" s="5" t="s">
        <v>20</v>
      </c>
      <c r="D9" s="5" t="s">
        <v>114</v>
      </c>
      <c r="E9" s="5" t="s">
        <v>124</v>
      </c>
      <c r="F9" s="5">
        <v>87</v>
      </c>
      <c r="G9" s="6">
        <v>14000</v>
      </c>
      <c r="H9" s="6">
        <f t="shared" si="0"/>
        <v>1218000</v>
      </c>
      <c r="I9" s="14" t="s">
        <v>13</v>
      </c>
    </row>
    <row r="10" spans="2:9" ht="15.95" customHeight="1" x14ac:dyDescent="0.3">
      <c r="B10" s="8">
        <v>41317</v>
      </c>
      <c r="C10" s="5" t="s">
        <v>22</v>
      </c>
      <c r="D10" s="5" t="s">
        <v>121</v>
      </c>
      <c r="E10" s="5" t="s">
        <v>131</v>
      </c>
      <c r="F10" s="5">
        <v>40</v>
      </c>
      <c r="G10" s="6">
        <v>34800</v>
      </c>
      <c r="H10" s="6">
        <f t="shared" si="0"/>
        <v>1392000</v>
      </c>
      <c r="I10" s="14" t="s">
        <v>9</v>
      </c>
    </row>
    <row r="11" spans="2:9" ht="15.95" customHeight="1" x14ac:dyDescent="0.3">
      <c r="B11" s="8">
        <v>41318</v>
      </c>
      <c r="C11" s="5" t="s">
        <v>20</v>
      </c>
      <c r="D11" s="5" t="s">
        <v>114</v>
      </c>
      <c r="E11" s="5" t="s">
        <v>124</v>
      </c>
      <c r="F11" s="5">
        <v>100</v>
      </c>
      <c r="G11" s="6">
        <v>14000</v>
      </c>
      <c r="H11" s="6">
        <f t="shared" si="0"/>
        <v>1400000</v>
      </c>
      <c r="I11" s="14" t="s">
        <v>24</v>
      </c>
    </row>
    <row r="12" spans="2:9" ht="15.95" customHeight="1" x14ac:dyDescent="0.3">
      <c r="B12" s="8">
        <v>41318</v>
      </c>
      <c r="C12" s="5" t="s">
        <v>26</v>
      </c>
      <c r="D12" s="5" t="s">
        <v>120</v>
      </c>
      <c r="E12" s="5" t="s">
        <v>129</v>
      </c>
      <c r="F12" s="5">
        <v>100</v>
      </c>
      <c r="G12" s="6">
        <v>19500</v>
      </c>
      <c r="H12" s="6">
        <f t="shared" si="0"/>
        <v>1950000</v>
      </c>
      <c r="I12" s="14" t="s">
        <v>13</v>
      </c>
    </row>
    <row r="13" spans="2:9" ht="15.95" customHeight="1" x14ac:dyDescent="0.3">
      <c r="B13" s="8">
        <v>41325</v>
      </c>
      <c r="C13" s="5" t="s">
        <v>28</v>
      </c>
      <c r="D13" s="5" t="s">
        <v>116</v>
      </c>
      <c r="E13" s="5" t="s">
        <v>126</v>
      </c>
      <c r="F13" s="5">
        <v>30</v>
      </c>
      <c r="G13" s="6">
        <v>3500</v>
      </c>
      <c r="H13" s="6">
        <f t="shared" si="0"/>
        <v>105000</v>
      </c>
      <c r="I13" s="14" t="s">
        <v>24</v>
      </c>
    </row>
    <row r="14" spans="2:9" ht="15.95" customHeight="1" x14ac:dyDescent="0.3">
      <c r="B14" s="4">
        <v>41328</v>
      </c>
      <c r="C14" s="5" t="s">
        <v>30</v>
      </c>
      <c r="D14" s="5" t="s">
        <v>114</v>
      </c>
      <c r="E14" s="5" t="s">
        <v>124</v>
      </c>
      <c r="F14" s="5">
        <v>25</v>
      </c>
      <c r="G14" s="6">
        <v>18000</v>
      </c>
      <c r="H14" s="6">
        <f t="shared" si="0"/>
        <v>450000</v>
      </c>
      <c r="I14" s="13" t="s">
        <v>24</v>
      </c>
    </row>
    <row r="15" spans="2:9" ht="15.95" customHeight="1" x14ac:dyDescent="0.3">
      <c r="B15" s="4">
        <v>41332</v>
      </c>
      <c r="C15" s="5" t="s">
        <v>32</v>
      </c>
      <c r="D15" s="5" t="s">
        <v>119</v>
      </c>
      <c r="E15" s="5" t="s">
        <v>130</v>
      </c>
      <c r="F15" s="5">
        <v>40</v>
      </c>
      <c r="G15" s="6">
        <v>18400</v>
      </c>
      <c r="H15" s="6">
        <f t="shared" si="0"/>
        <v>736000</v>
      </c>
      <c r="I15" s="13" t="s">
        <v>9</v>
      </c>
    </row>
    <row r="16" spans="2:9" ht="15.95" customHeight="1" x14ac:dyDescent="0.3">
      <c r="B16" s="4">
        <v>41340</v>
      </c>
      <c r="C16" s="5" t="s">
        <v>34</v>
      </c>
      <c r="D16" s="5" t="s">
        <v>115</v>
      </c>
      <c r="E16" s="5" t="s">
        <v>127</v>
      </c>
      <c r="F16" s="5">
        <v>17</v>
      </c>
      <c r="G16" s="6">
        <v>40000</v>
      </c>
      <c r="H16" s="6">
        <f t="shared" si="0"/>
        <v>680000</v>
      </c>
      <c r="I16" s="13" t="s">
        <v>9</v>
      </c>
    </row>
    <row r="17" spans="2:9" ht="15.95" customHeight="1" x14ac:dyDescent="0.3">
      <c r="B17" s="4">
        <v>41340</v>
      </c>
      <c r="C17" s="5" t="s">
        <v>34</v>
      </c>
      <c r="D17" s="5" t="s">
        <v>115</v>
      </c>
      <c r="E17" s="5" t="s">
        <v>127</v>
      </c>
      <c r="F17" s="5">
        <v>20</v>
      </c>
      <c r="G17" s="6">
        <v>40000</v>
      </c>
      <c r="H17" s="6">
        <f t="shared" si="0"/>
        <v>800000</v>
      </c>
      <c r="I17" s="13" t="s">
        <v>13</v>
      </c>
    </row>
    <row r="18" spans="2:9" ht="15.95" customHeight="1" x14ac:dyDescent="0.3">
      <c r="B18" s="4">
        <v>41344</v>
      </c>
      <c r="C18" s="5" t="s">
        <v>37</v>
      </c>
      <c r="D18" s="5" t="s">
        <v>120</v>
      </c>
      <c r="E18" s="5" t="s">
        <v>129</v>
      </c>
      <c r="F18" s="5">
        <v>10</v>
      </c>
      <c r="G18" s="6">
        <v>38000</v>
      </c>
      <c r="H18" s="6">
        <f t="shared" si="0"/>
        <v>380000</v>
      </c>
      <c r="I18" s="13" t="s">
        <v>9</v>
      </c>
    </row>
    <row r="19" spans="2:9" ht="15.95" customHeight="1" x14ac:dyDescent="0.3">
      <c r="B19" s="4">
        <v>41350</v>
      </c>
      <c r="C19" s="5" t="s">
        <v>39</v>
      </c>
      <c r="D19" s="5" t="s">
        <v>114</v>
      </c>
      <c r="E19" s="5" t="s">
        <v>132</v>
      </c>
      <c r="F19" s="5">
        <v>62</v>
      </c>
      <c r="G19" s="6">
        <v>46000</v>
      </c>
      <c r="H19" s="6">
        <f t="shared" si="0"/>
        <v>2852000</v>
      </c>
      <c r="I19" s="13" t="s">
        <v>9</v>
      </c>
    </row>
    <row r="20" spans="2:9" ht="15.95" customHeight="1" x14ac:dyDescent="0.3">
      <c r="B20" s="4">
        <v>41352</v>
      </c>
      <c r="C20" s="5" t="s">
        <v>20</v>
      </c>
      <c r="D20" s="5" t="s">
        <v>114</v>
      </c>
      <c r="E20" s="5" t="s">
        <v>124</v>
      </c>
      <c r="F20" s="5">
        <v>300</v>
      </c>
      <c r="G20" s="6">
        <v>14000</v>
      </c>
      <c r="H20" s="6">
        <f t="shared" si="0"/>
        <v>4200000</v>
      </c>
      <c r="I20" s="13" t="s">
        <v>24</v>
      </c>
    </row>
    <row r="21" spans="2:9" ht="15.95" customHeight="1" x14ac:dyDescent="0.3">
      <c r="B21" s="4">
        <v>41353</v>
      </c>
      <c r="C21" s="5" t="s">
        <v>42</v>
      </c>
      <c r="D21" s="5" t="s">
        <v>116</v>
      </c>
      <c r="E21" s="5" t="s">
        <v>126</v>
      </c>
      <c r="F21" s="5">
        <v>20</v>
      </c>
      <c r="G21" s="6">
        <v>10000</v>
      </c>
      <c r="H21" s="6">
        <f t="shared" si="0"/>
        <v>200000</v>
      </c>
      <c r="I21" s="13" t="s">
        <v>13</v>
      </c>
    </row>
    <row r="22" spans="2:9" ht="15.95" customHeight="1" x14ac:dyDescent="0.3">
      <c r="B22" s="4">
        <v>41354</v>
      </c>
      <c r="C22" s="5" t="s">
        <v>8</v>
      </c>
      <c r="D22" s="5" t="s">
        <v>118</v>
      </c>
      <c r="E22" s="5" t="s">
        <v>125</v>
      </c>
      <c r="F22" s="5">
        <v>40</v>
      </c>
      <c r="G22" s="6">
        <v>12750</v>
      </c>
      <c r="H22" s="6">
        <f t="shared" si="0"/>
        <v>510000</v>
      </c>
      <c r="I22" s="13" t="s">
        <v>24</v>
      </c>
    </row>
    <row r="23" spans="2:9" ht="15.95" customHeight="1" x14ac:dyDescent="0.3">
      <c r="B23" s="4">
        <v>41355</v>
      </c>
      <c r="C23" s="5" t="s">
        <v>47</v>
      </c>
      <c r="D23" s="5" t="s">
        <v>115</v>
      </c>
      <c r="E23" s="5" t="s">
        <v>125</v>
      </c>
      <c r="F23" s="5">
        <v>30</v>
      </c>
      <c r="G23" s="6">
        <v>22000</v>
      </c>
      <c r="H23" s="6">
        <f t="shared" si="0"/>
        <v>660000</v>
      </c>
      <c r="I23" s="13" t="s">
        <v>9</v>
      </c>
    </row>
    <row r="24" spans="2:9" ht="15.95" customHeight="1" x14ac:dyDescent="0.3">
      <c r="B24" s="4">
        <v>41355</v>
      </c>
      <c r="C24" s="5" t="s">
        <v>45</v>
      </c>
      <c r="D24" s="5" t="s">
        <v>119</v>
      </c>
      <c r="E24" s="5" t="s">
        <v>128</v>
      </c>
      <c r="F24" s="5">
        <v>50</v>
      </c>
      <c r="G24" s="6">
        <v>9650</v>
      </c>
      <c r="H24" s="6">
        <f t="shared" si="0"/>
        <v>482500</v>
      </c>
      <c r="I24" s="13" t="s">
        <v>9</v>
      </c>
    </row>
    <row r="25" spans="2:9" ht="15.95" customHeight="1" x14ac:dyDescent="0.3">
      <c r="B25" s="4">
        <v>41356</v>
      </c>
      <c r="C25" s="5" t="s">
        <v>11</v>
      </c>
      <c r="D25" s="5" t="s">
        <v>114</v>
      </c>
      <c r="E25" s="5" t="s">
        <v>132</v>
      </c>
      <c r="F25" s="5">
        <v>15</v>
      </c>
      <c r="G25" s="6">
        <v>2990</v>
      </c>
      <c r="H25" s="6">
        <f t="shared" si="0"/>
        <v>44850</v>
      </c>
      <c r="I25" s="13" t="s">
        <v>13</v>
      </c>
    </row>
    <row r="26" spans="2:9" ht="15.95" customHeight="1" x14ac:dyDescent="0.3">
      <c r="B26" s="4">
        <v>41358</v>
      </c>
      <c r="C26" s="5" t="s">
        <v>11</v>
      </c>
      <c r="D26" s="5" t="s">
        <v>114</v>
      </c>
      <c r="E26" s="5" t="s">
        <v>132</v>
      </c>
      <c r="F26" s="5">
        <v>200</v>
      </c>
      <c r="G26" s="6">
        <v>2990</v>
      </c>
      <c r="H26" s="6">
        <f t="shared" si="0"/>
        <v>598000</v>
      </c>
      <c r="I26" s="13" t="s">
        <v>24</v>
      </c>
    </row>
    <row r="27" spans="2:9" ht="15.95" customHeight="1" x14ac:dyDescent="0.3">
      <c r="B27" s="4">
        <v>41359</v>
      </c>
      <c r="C27" s="5" t="s">
        <v>51</v>
      </c>
      <c r="D27" s="5" t="s">
        <v>115</v>
      </c>
      <c r="E27" s="5" t="s">
        <v>125</v>
      </c>
      <c r="F27" s="5">
        <v>50</v>
      </c>
      <c r="G27" s="6">
        <v>10000</v>
      </c>
      <c r="H27" s="6">
        <f t="shared" si="0"/>
        <v>500000</v>
      </c>
      <c r="I27" s="13" t="s">
        <v>24</v>
      </c>
    </row>
    <row r="28" spans="2:9" ht="15.95" customHeight="1" x14ac:dyDescent="0.3">
      <c r="B28" s="4">
        <v>41360</v>
      </c>
      <c r="C28" s="5" t="s">
        <v>53</v>
      </c>
      <c r="D28" s="5" t="s">
        <v>115</v>
      </c>
      <c r="E28" s="5" t="s">
        <v>125</v>
      </c>
      <c r="F28" s="5">
        <v>25</v>
      </c>
      <c r="G28" s="6">
        <v>21350</v>
      </c>
      <c r="H28" s="6">
        <f t="shared" si="0"/>
        <v>533750</v>
      </c>
      <c r="I28" s="13" t="s">
        <v>13</v>
      </c>
    </row>
    <row r="29" spans="2:9" ht="15.95" customHeight="1" x14ac:dyDescent="0.3">
      <c r="B29" s="4">
        <v>41369</v>
      </c>
      <c r="C29" s="5" t="s">
        <v>34</v>
      </c>
      <c r="D29" s="5" t="s">
        <v>115</v>
      </c>
      <c r="E29" s="5" t="s">
        <v>127</v>
      </c>
      <c r="F29" s="5">
        <v>57</v>
      </c>
      <c r="G29" s="6">
        <v>40000</v>
      </c>
      <c r="H29" s="6">
        <f t="shared" si="0"/>
        <v>2280000</v>
      </c>
      <c r="I29" s="13" t="s">
        <v>9</v>
      </c>
    </row>
    <row r="30" spans="2:9" ht="15.95" customHeight="1" x14ac:dyDescent="0.3">
      <c r="B30" s="4">
        <v>41375</v>
      </c>
      <c r="C30" s="5" t="s">
        <v>56</v>
      </c>
      <c r="D30" s="5" t="s">
        <v>115</v>
      </c>
      <c r="E30" s="5" t="s">
        <v>126</v>
      </c>
      <c r="F30" s="5">
        <v>90</v>
      </c>
      <c r="G30" s="6">
        <v>25000</v>
      </c>
      <c r="H30" s="6">
        <f t="shared" si="0"/>
        <v>2250000</v>
      </c>
      <c r="I30" s="13" t="s">
        <v>13</v>
      </c>
    </row>
    <row r="31" spans="2:9" ht="15.95" customHeight="1" x14ac:dyDescent="0.3">
      <c r="B31" s="4">
        <v>41382</v>
      </c>
      <c r="C31" s="5" t="s">
        <v>8</v>
      </c>
      <c r="D31" s="5" t="s">
        <v>118</v>
      </c>
      <c r="E31" s="5" t="s">
        <v>125</v>
      </c>
      <c r="F31" s="5">
        <v>90</v>
      </c>
      <c r="G31" s="6">
        <v>12750</v>
      </c>
      <c r="H31" s="6">
        <f t="shared" si="0"/>
        <v>1147500</v>
      </c>
      <c r="I31" s="13" t="s">
        <v>13</v>
      </c>
    </row>
    <row r="32" spans="2:9" ht="15.95" customHeight="1" x14ac:dyDescent="0.3">
      <c r="B32" s="4">
        <v>41390</v>
      </c>
      <c r="C32" s="5" t="s">
        <v>30</v>
      </c>
      <c r="D32" s="5" t="s">
        <v>114</v>
      </c>
      <c r="E32" s="5" t="s">
        <v>124</v>
      </c>
      <c r="F32" s="5">
        <v>15</v>
      </c>
      <c r="G32" s="6">
        <v>18000</v>
      </c>
      <c r="H32" s="6">
        <f t="shared" si="0"/>
        <v>270000</v>
      </c>
      <c r="I32" s="13" t="s">
        <v>13</v>
      </c>
    </row>
    <row r="33" spans="2:9" ht="15.95" customHeight="1" x14ac:dyDescent="0.3">
      <c r="B33" s="4">
        <v>41393</v>
      </c>
      <c r="C33" s="5" t="s">
        <v>39</v>
      </c>
      <c r="D33" s="5" t="s">
        <v>114</v>
      </c>
      <c r="E33" s="5" t="s">
        <v>132</v>
      </c>
      <c r="F33" s="5">
        <v>300</v>
      </c>
      <c r="G33" s="6">
        <v>46000</v>
      </c>
      <c r="H33" s="6">
        <f t="shared" si="0"/>
        <v>13800000</v>
      </c>
      <c r="I33" s="13" t="s">
        <v>13</v>
      </c>
    </row>
    <row r="34" spans="2:9" ht="15.95" customHeight="1" x14ac:dyDescent="0.3">
      <c r="B34" s="4">
        <v>41394</v>
      </c>
      <c r="C34" s="5" t="s">
        <v>28</v>
      </c>
      <c r="D34" s="5" t="s">
        <v>116</v>
      </c>
      <c r="E34" s="5" t="s">
        <v>126</v>
      </c>
      <c r="F34" s="5">
        <v>10</v>
      </c>
      <c r="G34" s="6">
        <v>3500</v>
      </c>
      <c r="H34" s="6">
        <f t="shared" si="0"/>
        <v>35000</v>
      </c>
      <c r="I34" s="13" t="s">
        <v>9</v>
      </c>
    </row>
    <row r="35" spans="2:9" ht="15.95" customHeight="1" x14ac:dyDescent="0.3">
      <c r="B35" s="4">
        <v>41405</v>
      </c>
      <c r="C35" s="5" t="s">
        <v>39</v>
      </c>
      <c r="D35" s="5" t="s">
        <v>114</v>
      </c>
      <c r="E35" s="5" t="s">
        <v>132</v>
      </c>
      <c r="F35" s="5">
        <v>5</v>
      </c>
      <c r="G35" s="6">
        <v>46000</v>
      </c>
      <c r="H35" s="6">
        <f t="shared" si="0"/>
        <v>230000</v>
      </c>
      <c r="I35" s="13" t="s">
        <v>13</v>
      </c>
    </row>
    <row r="36" spans="2:9" ht="15.95" customHeight="1" x14ac:dyDescent="0.3">
      <c r="B36" s="4">
        <v>41412</v>
      </c>
      <c r="C36" s="5" t="s">
        <v>28</v>
      </c>
      <c r="D36" s="5" t="s">
        <v>116</v>
      </c>
      <c r="E36" s="5" t="s">
        <v>126</v>
      </c>
      <c r="F36" s="5">
        <v>16</v>
      </c>
      <c r="G36" s="6">
        <v>3500</v>
      </c>
      <c r="H36" s="6">
        <f t="shared" si="0"/>
        <v>56000</v>
      </c>
      <c r="I36" s="13" t="s">
        <v>13</v>
      </c>
    </row>
    <row r="37" spans="2:9" ht="15.95" customHeight="1" x14ac:dyDescent="0.3">
      <c r="B37" s="4">
        <v>41414</v>
      </c>
      <c r="C37" s="5" t="s">
        <v>28</v>
      </c>
      <c r="D37" s="5" t="s">
        <v>116</v>
      </c>
      <c r="E37" s="5" t="s">
        <v>126</v>
      </c>
      <c r="F37" s="5">
        <v>20</v>
      </c>
      <c r="G37" s="6">
        <v>3500</v>
      </c>
      <c r="H37" s="6">
        <f t="shared" si="0"/>
        <v>70000</v>
      </c>
      <c r="I37" s="13" t="s">
        <v>24</v>
      </c>
    </row>
    <row r="38" spans="2:9" ht="15.95" customHeight="1" x14ac:dyDescent="0.3">
      <c r="B38" s="4">
        <v>41427</v>
      </c>
      <c r="C38" s="5" t="s">
        <v>8</v>
      </c>
      <c r="D38" s="5" t="s">
        <v>118</v>
      </c>
      <c r="E38" s="5" t="s">
        <v>125</v>
      </c>
      <c r="F38" s="5">
        <v>40</v>
      </c>
      <c r="G38" s="6">
        <v>12750</v>
      </c>
      <c r="H38" s="6">
        <f t="shared" si="0"/>
        <v>510000</v>
      </c>
      <c r="I38" s="13" t="s">
        <v>13</v>
      </c>
    </row>
    <row r="39" spans="2:9" ht="15.95" customHeight="1" x14ac:dyDescent="0.3">
      <c r="B39" s="4">
        <v>41433</v>
      </c>
      <c r="C39" s="5" t="s">
        <v>66</v>
      </c>
      <c r="D39" s="5" t="s">
        <v>116</v>
      </c>
      <c r="E39" s="5" t="s">
        <v>126</v>
      </c>
      <c r="F39" s="5">
        <v>10</v>
      </c>
      <c r="G39" s="6">
        <v>30000</v>
      </c>
      <c r="H39" s="6">
        <f t="shared" si="0"/>
        <v>300000</v>
      </c>
      <c r="I39" s="13" t="s">
        <v>9</v>
      </c>
    </row>
    <row r="40" spans="2:9" ht="15.95" customHeight="1" x14ac:dyDescent="0.3">
      <c r="B40" s="4">
        <v>41435</v>
      </c>
      <c r="C40" s="5" t="s">
        <v>11</v>
      </c>
      <c r="D40" s="5" t="s">
        <v>114</v>
      </c>
      <c r="E40" s="5" t="s">
        <v>132</v>
      </c>
      <c r="F40" s="5">
        <v>25</v>
      </c>
      <c r="G40" s="6">
        <v>2990</v>
      </c>
      <c r="H40" s="6">
        <f t="shared" si="0"/>
        <v>74750</v>
      </c>
      <c r="I40" s="13" t="s">
        <v>13</v>
      </c>
    </row>
    <row r="41" spans="2:9" ht="15.95" customHeight="1" x14ac:dyDescent="0.3">
      <c r="B41" s="4">
        <v>41435</v>
      </c>
      <c r="C41" s="5" t="s">
        <v>15</v>
      </c>
      <c r="D41" s="5" t="s">
        <v>118</v>
      </c>
      <c r="E41" s="5" t="s">
        <v>129</v>
      </c>
      <c r="F41" s="5">
        <v>10</v>
      </c>
      <c r="G41" s="6">
        <v>9200</v>
      </c>
      <c r="H41" s="6">
        <f t="shared" si="0"/>
        <v>92000</v>
      </c>
      <c r="I41" s="13" t="s">
        <v>13</v>
      </c>
    </row>
    <row r="42" spans="2:9" ht="15.95" customHeight="1" x14ac:dyDescent="0.3">
      <c r="B42" s="4">
        <v>41436</v>
      </c>
      <c r="C42" s="5" t="s">
        <v>70</v>
      </c>
      <c r="D42" s="5" t="s">
        <v>116</v>
      </c>
      <c r="E42" s="5" t="s">
        <v>126</v>
      </c>
      <c r="F42" s="5">
        <v>55</v>
      </c>
      <c r="G42" s="6">
        <v>53000</v>
      </c>
      <c r="H42" s="6">
        <f t="shared" si="0"/>
        <v>2915000</v>
      </c>
      <c r="I42" s="13" t="s">
        <v>13</v>
      </c>
    </row>
    <row r="43" spans="2:9" ht="15.95" customHeight="1" x14ac:dyDescent="0.3">
      <c r="B43" s="4">
        <v>41438</v>
      </c>
      <c r="C43" s="5" t="s">
        <v>72</v>
      </c>
      <c r="D43" s="5" t="s">
        <v>120</v>
      </c>
      <c r="E43" s="5" t="s">
        <v>129</v>
      </c>
      <c r="F43" s="5">
        <v>40</v>
      </c>
      <c r="G43" s="6">
        <v>7000</v>
      </c>
      <c r="H43" s="6">
        <f t="shared" si="0"/>
        <v>280000</v>
      </c>
      <c r="I43" s="13" t="s">
        <v>13</v>
      </c>
    </row>
    <row r="44" spans="2:9" ht="15.95" customHeight="1" x14ac:dyDescent="0.3">
      <c r="B44" s="4">
        <v>41444</v>
      </c>
      <c r="C44" s="5" t="s">
        <v>70</v>
      </c>
      <c r="D44" s="5" t="s">
        <v>116</v>
      </c>
      <c r="E44" s="5" t="s">
        <v>126</v>
      </c>
      <c r="F44" s="5">
        <v>10</v>
      </c>
      <c r="G44" s="6">
        <v>53000</v>
      </c>
      <c r="H44" s="6">
        <f t="shared" si="0"/>
        <v>530000</v>
      </c>
      <c r="I44" s="13" t="s">
        <v>9</v>
      </c>
    </row>
    <row r="45" spans="2:9" ht="15.95" customHeight="1" x14ac:dyDescent="0.3">
      <c r="B45" s="4">
        <v>41445</v>
      </c>
      <c r="C45" s="5" t="s">
        <v>56</v>
      </c>
      <c r="D45" s="5" t="s">
        <v>115</v>
      </c>
      <c r="E45" s="5" t="s">
        <v>126</v>
      </c>
      <c r="F45" s="5">
        <v>10</v>
      </c>
      <c r="G45" s="6">
        <v>25000</v>
      </c>
      <c r="H45" s="6">
        <f t="shared" si="0"/>
        <v>250000</v>
      </c>
      <c r="I45" s="13" t="s">
        <v>24</v>
      </c>
    </row>
    <row r="46" spans="2:9" ht="15.95" customHeight="1" x14ac:dyDescent="0.3">
      <c r="B46" s="4">
        <v>41455</v>
      </c>
      <c r="C46" s="5" t="s">
        <v>66</v>
      </c>
      <c r="D46" s="5" t="s">
        <v>116</v>
      </c>
      <c r="E46" s="5" t="s">
        <v>126</v>
      </c>
      <c r="F46" s="5">
        <v>30</v>
      </c>
      <c r="G46" s="6">
        <v>30000</v>
      </c>
      <c r="H46" s="6">
        <f t="shared" si="0"/>
        <v>900000</v>
      </c>
      <c r="I46" s="13" t="s">
        <v>24</v>
      </c>
    </row>
    <row r="47" spans="2:9" ht="15.95" customHeight="1" x14ac:dyDescent="0.3">
      <c r="B47" s="4">
        <v>41463</v>
      </c>
      <c r="C47" s="5" t="s">
        <v>15</v>
      </c>
      <c r="D47" s="5" t="s">
        <v>118</v>
      </c>
      <c r="E47" s="5" t="s">
        <v>129</v>
      </c>
      <c r="F47" s="5">
        <v>35</v>
      </c>
      <c r="G47" s="6">
        <v>9200</v>
      </c>
      <c r="H47" s="6">
        <f t="shared" si="0"/>
        <v>322000</v>
      </c>
      <c r="I47" s="13" t="s">
        <v>13</v>
      </c>
    </row>
    <row r="48" spans="2:9" ht="15.95" customHeight="1" x14ac:dyDescent="0.3">
      <c r="B48" s="4">
        <v>41483</v>
      </c>
      <c r="C48" s="5" t="s">
        <v>45</v>
      </c>
      <c r="D48" s="5" t="s">
        <v>119</v>
      </c>
      <c r="E48" s="5" t="s">
        <v>128</v>
      </c>
      <c r="F48" s="5">
        <v>10</v>
      </c>
      <c r="G48" s="6">
        <v>9650</v>
      </c>
      <c r="H48" s="6">
        <f t="shared" si="0"/>
        <v>96500</v>
      </c>
      <c r="I48" s="13" t="s">
        <v>13</v>
      </c>
    </row>
    <row r="49" spans="2:9" ht="15.95" customHeight="1" x14ac:dyDescent="0.3">
      <c r="B49" s="4">
        <v>41486</v>
      </c>
      <c r="C49" s="5" t="s">
        <v>32</v>
      </c>
      <c r="D49" s="5" t="s">
        <v>119</v>
      </c>
      <c r="E49" s="5" t="s">
        <v>130</v>
      </c>
      <c r="F49" s="5">
        <v>50</v>
      </c>
      <c r="G49" s="6">
        <v>18400</v>
      </c>
      <c r="H49" s="6">
        <f t="shared" si="0"/>
        <v>920000</v>
      </c>
      <c r="I49" s="13" t="s">
        <v>13</v>
      </c>
    </row>
    <row r="50" spans="2:9" ht="15.95" customHeight="1" x14ac:dyDescent="0.3">
      <c r="B50" s="4">
        <v>41488</v>
      </c>
      <c r="C50" s="5" t="s">
        <v>32</v>
      </c>
      <c r="D50" s="5" t="s">
        <v>119</v>
      </c>
      <c r="E50" s="5" t="s">
        <v>130</v>
      </c>
      <c r="F50" s="5">
        <v>30</v>
      </c>
      <c r="G50" s="6">
        <v>18400</v>
      </c>
      <c r="H50" s="6">
        <f t="shared" si="0"/>
        <v>552000</v>
      </c>
      <c r="I50" s="13" t="s">
        <v>9</v>
      </c>
    </row>
    <row r="51" spans="2:9" ht="15.95" customHeight="1" x14ac:dyDescent="0.3">
      <c r="B51" s="4">
        <v>41492</v>
      </c>
      <c r="C51" s="5" t="s">
        <v>39</v>
      </c>
      <c r="D51" s="5" t="s">
        <v>114</v>
      </c>
      <c r="E51" s="5" t="s">
        <v>132</v>
      </c>
      <c r="F51" s="5">
        <v>90</v>
      </c>
      <c r="G51" s="6">
        <v>46000</v>
      </c>
      <c r="H51" s="6">
        <f t="shared" si="0"/>
        <v>4140000</v>
      </c>
      <c r="I51" s="13" t="s">
        <v>13</v>
      </c>
    </row>
    <row r="52" spans="2:9" ht="15.95" customHeight="1" x14ac:dyDescent="0.3">
      <c r="B52" s="4">
        <v>41497</v>
      </c>
      <c r="C52" s="5" t="s">
        <v>47</v>
      </c>
      <c r="D52" s="5" t="s">
        <v>115</v>
      </c>
      <c r="E52" s="5" t="s">
        <v>125</v>
      </c>
      <c r="F52" s="5">
        <v>10</v>
      </c>
      <c r="G52" s="6">
        <v>22000</v>
      </c>
      <c r="H52" s="6">
        <f t="shared" si="0"/>
        <v>220000</v>
      </c>
      <c r="I52" s="13" t="s">
        <v>13</v>
      </c>
    </row>
    <row r="53" spans="2:9" ht="15.95" customHeight="1" x14ac:dyDescent="0.3">
      <c r="B53" s="4">
        <v>41499</v>
      </c>
      <c r="C53" s="5" t="s">
        <v>8</v>
      </c>
      <c r="D53" s="5" t="s">
        <v>118</v>
      </c>
      <c r="E53" s="5" t="s">
        <v>125</v>
      </c>
      <c r="F53" s="5">
        <v>10</v>
      </c>
      <c r="G53" s="6">
        <v>12750</v>
      </c>
      <c r="H53" s="6">
        <f t="shared" si="0"/>
        <v>127500</v>
      </c>
      <c r="I53" s="13" t="s">
        <v>9</v>
      </c>
    </row>
    <row r="54" spans="2:9" ht="15.95" customHeight="1" x14ac:dyDescent="0.3">
      <c r="B54" s="4">
        <v>41503</v>
      </c>
      <c r="C54" s="5" t="s">
        <v>37</v>
      </c>
      <c r="D54" s="5" t="s">
        <v>120</v>
      </c>
      <c r="E54" s="5" t="s">
        <v>129</v>
      </c>
      <c r="F54" s="5">
        <v>5</v>
      </c>
      <c r="G54" s="6">
        <v>38000</v>
      </c>
      <c r="H54" s="6">
        <f t="shared" si="0"/>
        <v>190000</v>
      </c>
      <c r="I54" s="13" t="s">
        <v>24</v>
      </c>
    </row>
    <row r="55" spans="2:9" ht="15.95" customHeight="1" x14ac:dyDescent="0.3">
      <c r="B55" s="4">
        <v>41506</v>
      </c>
      <c r="C55" s="5" t="s">
        <v>85</v>
      </c>
      <c r="D55" s="5" t="s">
        <v>118</v>
      </c>
      <c r="E55" s="5" t="s">
        <v>129</v>
      </c>
      <c r="F55" s="5">
        <v>20</v>
      </c>
      <c r="G55" s="6">
        <v>10000</v>
      </c>
      <c r="H55" s="6">
        <f t="shared" si="0"/>
        <v>200000</v>
      </c>
      <c r="I55" s="13" t="s">
        <v>9</v>
      </c>
    </row>
    <row r="56" spans="2:9" ht="15.95" customHeight="1" x14ac:dyDescent="0.3">
      <c r="B56" s="4">
        <v>41520</v>
      </c>
      <c r="C56" s="5" t="s">
        <v>15</v>
      </c>
      <c r="D56" s="5" t="s">
        <v>118</v>
      </c>
      <c r="E56" s="5" t="s">
        <v>129</v>
      </c>
      <c r="F56" s="5">
        <v>25</v>
      </c>
      <c r="G56" s="6">
        <v>9200</v>
      </c>
      <c r="H56" s="6">
        <f t="shared" si="0"/>
        <v>230000</v>
      </c>
      <c r="I56" s="13" t="s">
        <v>24</v>
      </c>
    </row>
    <row r="57" spans="2:9" ht="15.95" customHeight="1" x14ac:dyDescent="0.3">
      <c r="B57" s="4">
        <v>41521</v>
      </c>
      <c r="C57" s="5" t="s">
        <v>45</v>
      </c>
      <c r="D57" s="5" t="s">
        <v>119</v>
      </c>
      <c r="E57" s="5" t="s">
        <v>128</v>
      </c>
      <c r="F57" s="5">
        <v>30</v>
      </c>
      <c r="G57" s="6">
        <v>9650</v>
      </c>
      <c r="H57" s="6">
        <f t="shared" si="0"/>
        <v>289500</v>
      </c>
      <c r="I57" s="13" t="s">
        <v>9</v>
      </c>
    </row>
    <row r="58" spans="2:9" ht="15.95" customHeight="1" x14ac:dyDescent="0.3">
      <c r="B58" s="4">
        <v>41529</v>
      </c>
      <c r="C58" s="5" t="s">
        <v>45</v>
      </c>
      <c r="D58" s="5" t="s">
        <v>119</v>
      </c>
      <c r="E58" s="5" t="s">
        <v>128</v>
      </c>
      <c r="F58" s="5">
        <v>200</v>
      </c>
      <c r="G58" s="6">
        <v>9650</v>
      </c>
      <c r="H58" s="6">
        <f t="shared" si="0"/>
        <v>1930000</v>
      </c>
      <c r="I58" s="13" t="s">
        <v>9</v>
      </c>
    </row>
    <row r="59" spans="2:9" ht="15.95" customHeight="1" x14ac:dyDescent="0.3">
      <c r="B59" s="4">
        <v>41543</v>
      </c>
      <c r="C59" s="5" t="s">
        <v>66</v>
      </c>
      <c r="D59" s="5" t="s">
        <v>116</v>
      </c>
      <c r="E59" s="5" t="s">
        <v>126</v>
      </c>
      <c r="F59" s="5">
        <v>72</v>
      </c>
      <c r="G59" s="6">
        <v>30000</v>
      </c>
      <c r="H59" s="6">
        <f t="shared" si="0"/>
        <v>2160000</v>
      </c>
      <c r="I59" s="13" t="s">
        <v>9</v>
      </c>
    </row>
    <row r="60" spans="2:9" ht="15.95" customHeight="1" x14ac:dyDescent="0.3">
      <c r="B60" s="4">
        <v>41566</v>
      </c>
      <c r="C60" s="5" t="s">
        <v>34</v>
      </c>
      <c r="D60" s="5" t="s">
        <v>115</v>
      </c>
      <c r="E60" s="5" t="s">
        <v>127</v>
      </c>
      <c r="F60" s="5">
        <v>25</v>
      </c>
      <c r="G60" s="6">
        <v>40000</v>
      </c>
      <c r="H60" s="6">
        <f t="shared" si="0"/>
        <v>1000000</v>
      </c>
      <c r="I60" s="13" t="s">
        <v>9</v>
      </c>
    </row>
    <row r="61" spans="2:9" ht="15.95" customHeight="1" x14ac:dyDescent="0.3">
      <c r="B61" s="4">
        <v>41566</v>
      </c>
      <c r="C61" s="5" t="s">
        <v>47</v>
      </c>
      <c r="D61" s="5" t="s">
        <v>115</v>
      </c>
      <c r="E61" s="5" t="s">
        <v>125</v>
      </c>
      <c r="F61" s="5">
        <v>80</v>
      </c>
      <c r="G61" s="6">
        <v>22000</v>
      </c>
      <c r="H61" s="6">
        <f t="shared" si="0"/>
        <v>1760000</v>
      </c>
      <c r="I61" s="13" t="s">
        <v>13</v>
      </c>
    </row>
    <row r="62" spans="2:9" ht="15.95" customHeight="1" x14ac:dyDescent="0.3">
      <c r="B62" s="4">
        <v>41569</v>
      </c>
      <c r="C62" s="5" t="s">
        <v>39</v>
      </c>
      <c r="D62" s="5" t="s">
        <v>114</v>
      </c>
      <c r="E62" s="5" t="s">
        <v>132</v>
      </c>
      <c r="F62" s="5">
        <v>74</v>
      </c>
      <c r="G62" s="6">
        <v>46000</v>
      </c>
      <c r="H62" s="6">
        <f t="shared" si="0"/>
        <v>3404000</v>
      </c>
      <c r="I62" s="13" t="s">
        <v>9</v>
      </c>
    </row>
    <row r="63" spans="2:9" ht="15.95" customHeight="1" x14ac:dyDescent="0.3">
      <c r="B63" s="4">
        <v>41575</v>
      </c>
      <c r="C63" s="5" t="s">
        <v>8</v>
      </c>
      <c r="D63" s="5" t="s">
        <v>118</v>
      </c>
      <c r="E63" s="5" t="s">
        <v>125</v>
      </c>
      <c r="F63" s="5">
        <v>100</v>
      </c>
      <c r="G63" s="6">
        <v>12750</v>
      </c>
      <c r="H63" s="6">
        <f t="shared" si="0"/>
        <v>1275000</v>
      </c>
      <c r="I63" s="13" t="s">
        <v>9</v>
      </c>
    </row>
    <row r="64" spans="2:9" ht="15.95" customHeight="1" x14ac:dyDescent="0.3">
      <c r="B64" s="4">
        <v>41576</v>
      </c>
      <c r="C64" s="5" t="s">
        <v>39</v>
      </c>
      <c r="D64" s="5" t="s">
        <v>114</v>
      </c>
      <c r="E64" s="5" t="s">
        <v>132</v>
      </c>
      <c r="F64" s="5">
        <v>25</v>
      </c>
      <c r="G64" s="6">
        <v>46000</v>
      </c>
      <c r="H64" s="6">
        <f t="shared" si="0"/>
        <v>1150000</v>
      </c>
      <c r="I64" s="13" t="s">
        <v>9</v>
      </c>
    </row>
    <row r="65" spans="2:9" ht="15.95" customHeight="1" x14ac:dyDescent="0.3">
      <c r="B65" s="4">
        <v>41577</v>
      </c>
      <c r="C65" s="5" t="s">
        <v>45</v>
      </c>
      <c r="D65" s="5" t="s">
        <v>119</v>
      </c>
      <c r="E65" s="5" t="s">
        <v>128</v>
      </c>
      <c r="F65" s="5">
        <v>58</v>
      </c>
      <c r="G65" s="6">
        <v>9650</v>
      </c>
      <c r="H65" s="6">
        <f t="shared" si="0"/>
        <v>559700</v>
      </c>
      <c r="I65" s="13" t="s">
        <v>9</v>
      </c>
    </row>
    <row r="66" spans="2:9" ht="15.95" customHeight="1" x14ac:dyDescent="0.3">
      <c r="B66" s="4">
        <v>41579</v>
      </c>
      <c r="C66" s="5" t="s">
        <v>30</v>
      </c>
      <c r="D66" s="5" t="s">
        <v>114</v>
      </c>
      <c r="E66" s="5" t="s">
        <v>124</v>
      </c>
      <c r="F66" s="5">
        <v>46</v>
      </c>
      <c r="G66" s="6">
        <v>18000</v>
      </c>
      <c r="H66" s="6">
        <f t="shared" si="0"/>
        <v>828000</v>
      </c>
      <c r="I66" s="13" t="s">
        <v>24</v>
      </c>
    </row>
    <row r="67" spans="2:9" ht="15.95" customHeight="1" x14ac:dyDescent="0.3">
      <c r="B67" s="4">
        <v>41584</v>
      </c>
      <c r="C67" s="5" t="s">
        <v>34</v>
      </c>
      <c r="D67" s="5" t="s">
        <v>115</v>
      </c>
      <c r="E67" s="5" t="s">
        <v>127</v>
      </c>
      <c r="F67" s="5">
        <v>3</v>
      </c>
      <c r="G67" s="6">
        <v>40000</v>
      </c>
      <c r="H67" s="6">
        <f t="shared" ref="H67:H78" si="1">F67*G67</f>
        <v>120000</v>
      </c>
      <c r="I67" s="13" t="s">
        <v>9</v>
      </c>
    </row>
    <row r="68" spans="2:9" ht="15.95" customHeight="1" x14ac:dyDescent="0.3">
      <c r="B68" s="4">
        <v>41589</v>
      </c>
      <c r="C68" s="5" t="s">
        <v>22</v>
      </c>
      <c r="D68" s="5" t="s">
        <v>121</v>
      </c>
      <c r="E68" s="5" t="s">
        <v>131</v>
      </c>
      <c r="F68" s="5">
        <v>50</v>
      </c>
      <c r="G68" s="6">
        <v>34800</v>
      </c>
      <c r="H68" s="6">
        <f t="shared" si="1"/>
        <v>1740000</v>
      </c>
      <c r="I68" s="13" t="s">
        <v>13</v>
      </c>
    </row>
    <row r="69" spans="2:9" ht="15.95" customHeight="1" x14ac:dyDescent="0.3">
      <c r="B69" s="4">
        <v>41593</v>
      </c>
      <c r="C69" s="5" t="s">
        <v>39</v>
      </c>
      <c r="D69" s="5" t="s">
        <v>114</v>
      </c>
      <c r="E69" s="5" t="s">
        <v>132</v>
      </c>
      <c r="F69" s="5">
        <v>300</v>
      </c>
      <c r="G69" s="6">
        <v>46000</v>
      </c>
      <c r="H69" s="6">
        <f t="shared" si="1"/>
        <v>13800000</v>
      </c>
      <c r="I69" s="13" t="s">
        <v>24</v>
      </c>
    </row>
    <row r="70" spans="2:9" ht="15.95" customHeight="1" x14ac:dyDescent="0.3">
      <c r="B70" s="4">
        <v>41595</v>
      </c>
      <c r="C70" s="5" t="s">
        <v>15</v>
      </c>
      <c r="D70" s="5" t="s">
        <v>118</v>
      </c>
      <c r="E70" s="5" t="s">
        <v>129</v>
      </c>
      <c r="F70" s="5">
        <v>12</v>
      </c>
      <c r="G70" s="6">
        <v>9200</v>
      </c>
      <c r="H70" s="6">
        <f t="shared" si="1"/>
        <v>110400</v>
      </c>
      <c r="I70" s="13" t="s">
        <v>13</v>
      </c>
    </row>
    <row r="71" spans="2:9" ht="15.95" customHeight="1" x14ac:dyDescent="0.3">
      <c r="B71" s="4">
        <v>41599</v>
      </c>
      <c r="C71" s="5" t="s">
        <v>56</v>
      </c>
      <c r="D71" s="5" t="s">
        <v>115</v>
      </c>
      <c r="E71" s="5" t="s">
        <v>126</v>
      </c>
      <c r="F71" s="5">
        <v>39</v>
      </c>
      <c r="G71" s="6">
        <v>25000</v>
      </c>
      <c r="H71" s="6">
        <f t="shared" si="1"/>
        <v>975000</v>
      </c>
      <c r="I71" s="13" t="s">
        <v>24</v>
      </c>
    </row>
    <row r="72" spans="2:9" ht="15.95" customHeight="1" x14ac:dyDescent="0.3">
      <c r="B72" s="4">
        <v>41599</v>
      </c>
      <c r="C72" s="5" t="s">
        <v>28</v>
      </c>
      <c r="D72" s="5" t="s">
        <v>116</v>
      </c>
      <c r="E72" s="5" t="s">
        <v>126</v>
      </c>
      <c r="F72" s="5">
        <v>15</v>
      </c>
      <c r="G72" s="6">
        <v>3500</v>
      </c>
      <c r="H72" s="6">
        <f t="shared" si="1"/>
        <v>52500</v>
      </c>
      <c r="I72" s="13" t="s">
        <v>9</v>
      </c>
    </row>
    <row r="73" spans="2:9" ht="15.95" customHeight="1" x14ac:dyDescent="0.3">
      <c r="B73" s="4">
        <v>41603</v>
      </c>
      <c r="C73" s="5" t="s">
        <v>104</v>
      </c>
      <c r="D73" s="5" t="s">
        <v>117</v>
      </c>
      <c r="E73" s="5" t="s">
        <v>128</v>
      </c>
      <c r="F73" s="5">
        <v>40</v>
      </c>
      <c r="G73" s="6">
        <v>39000</v>
      </c>
      <c r="H73" s="6">
        <f t="shared" si="1"/>
        <v>1560000</v>
      </c>
      <c r="I73" s="13" t="s">
        <v>9</v>
      </c>
    </row>
    <row r="74" spans="2:9" ht="15.95" customHeight="1" x14ac:dyDescent="0.3">
      <c r="B74" s="4">
        <v>41606</v>
      </c>
      <c r="C74" s="5" t="s">
        <v>70</v>
      </c>
      <c r="D74" s="5" t="s">
        <v>116</v>
      </c>
      <c r="E74" s="5" t="s">
        <v>126</v>
      </c>
      <c r="F74" s="5">
        <v>30</v>
      </c>
      <c r="G74" s="6">
        <v>53000</v>
      </c>
      <c r="H74" s="6">
        <f t="shared" si="1"/>
        <v>1590000</v>
      </c>
      <c r="I74" s="13" t="s">
        <v>9</v>
      </c>
    </row>
    <row r="75" spans="2:9" ht="15.95" customHeight="1" x14ac:dyDescent="0.3">
      <c r="B75" s="4">
        <v>41606</v>
      </c>
      <c r="C75" s="5" t="s">
        <v>11</v>
      </c>
      <c r="D75" s="5" t="s">
        <v>114</v>
      </c>
      <c r="E75" s="5" t="s">
        <v>132</v>
      </c>
      <c r="F75" s="5">
        <v>90</v>
      </c>
      <c r="G75" s="6">
        <v>2990</v>
      </c>
      <c r="H75" s="6">
        <f t="shared" si="1"/>
        <v>269100</v>
      </c>
      <c r="I75" s="13" t="s">
        <v>13</v>
      </c>
    </row>
    <row r="76" spans="2:9" ht="15.95" customHeight="1" x14ac:dyDescent="0.3">
      <c r="B76" s="4">
        <v>41623</v>
      </c>
      <c r="C76" s="5" t="s">
        <v>39</v>
      </c>
      <c r="D76" s="5" t="s">
        <v>114</v>
      </c>
      <c r="E76" s="5" t="s">
        <v>132</v>
      </c>
      <c r="F76" s="5">
        <v>20</v>
      </c>
      <c r="G76" s="6">
        <v>46000</v>
      </c>
      <c r="H76" s="6">
        <f t="shared" si="1"/>
        <v>920000</v>
      </c>
      <c r="I76" s="13" t="s">
        <v>24</v>
      </c>
    </row>
    <row r="77" spans="2:9" ht="15.95" customHeight="1" x14ac:dyDescent="0.3">
      <c r="B77" s="4">
        <v>41628</v>
      </c>
      <c r="C77" s="5" t="s">
        <v>28</v>
      </c>
      <c r="D77" s="5" t="s">
        <v>116</v>
      </c>
      <c r="E77" s="5" t="s">
        <v>126</v>
      </c>
      <c r="F77" s="5">
        <v>31</v>
      </c>
      <c r="G77" s="6">
        <v>3500</v>
      </c>
      <c r="H77" s="6">
        <f t="shared" si="1"/>
        <v>108500</v>
      </c>
      <c r="I77" s="13" t="s">
        <v>9</v>
      </c>
    </row>
    <row r="78" spans="2:9" ht="15.95" customHeight="1" x14ac:dyDescent="0.3">
      <c r="B78" s="4">
        <v>41635</v>
      </c>
      <c r="C78" s="5" t="s">
        <v>15</v>
      </c>
      <c r="D78" s="5" t="s">
        <v>118</v>
      </c>
      <c r="E78" s="5" t="s">
        <v>129</v>
      </c>
      <c r="F78" s="5">
        <v>6</v>
      </c>
      <c r="G78" s="6">
        <v>9200</v>
      </c>
      <c r="H78" s="6">
        <f t="shared" si="1"/>
        <v>55200</v>
      </c>
      <c r="I78" s="13" t="s">
        <v>9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B1" sqref="B1"/>
    </sheetView>
  </sheetViews>
  <sheetFormatPr defaultRowHeight="16.5" x14ac:dyDescent="0.3"/>
  <cols>
    <col min="1" max="1" width="3.625" customWidth="1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K72"/>
  <sheetViews>
    <sheetView workbookViewId="0">
      <selection activeCell="C13" sqref="C13"/>
    </sheetView>
  </sheetViews>
  <sheetFormatPr defaultRowHeight="16.5" x14ac:dyDescent="0.3"/>
  <cols>
    <col min="1" max="1" width="3.625" customWidth="1"/>
    <col min="2" max="2" width="10" bestFit="1" customWidth="1"/>
    <col min="3" max="3" width="10" customWidth="1"/>
    <col min="4" max="4" width="6.375" customWidth="1"/>
    <col min="5" max="5" width="7.125" customWidth="1"/>
    <col min="6" max="6" width="8.625" customWidth="1"/>
    <col min="7" max="7" width="6.375" customWidth="1"/>
    <col min="8" max="8" width="5.75" customWidth="1"/>
    <col min="9" max="9" width="4.75" customWidth="1"/>
    <col min="10" max="10" width="6.375" bestFit="1" customWidth="1"/>
    <col min="11" max="11" width="7.125" bestFit="1" customWidth="1"/>
  </cols>
  <sheetData>
    <row r="1" spans="2:11" x14ac:dyDescent="0.3"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2:11" x14ac:dyDescent="0.3">
      <c r="B2" s="15" t="s">
        <v>133</v>
      </c>
      <c r="C2" s="15" t="s">
        <v>134</v>
      </c>
      <c r="D2" s="16"/>
      <c r="E2" s="16"/>
      <c r="F2" s="16"/>
      <c r="G2" s="16"/>
      <c r="H2" s="16"/>
      <c r="I2" s="16"/>
      <c r="J2" s="16"/>
      <c r="K2" s="16"/>
    </row>
    <row r="3" spans="2:11" x14ac:dyDescent="0.3">
      <c r="B3" s="15" t="s">
        <v>135</v>
      </c>
      <c r="C3" s="16" t="s">
        <v>118</v>
      </c>
      <c r="D3" s="16" t="s">
        <v>121</v>
      </c>
      <c r="E3" s="16" t="s">
        <v>114</v>
      </c>
      <c r="F3" s="16" t="s">
        <v>116</v>
      </c>
      <c r="G3" s="16" t="s">
        <v>115</v>
      </c>
      <c r="H3" s="16" t="s">
        <v>120</v>
      </c>
      <c r="I3" s="16" t="s">
        <v>117</v>
      </c>
      <c r="J3" s="16" t="s">
        <v>119</v>
      </c>
      <c r="K3" s="16" t="s">
        <v>113</v>
      </c>
    </row>
    <row r="4" spans="2:11" x14ac:dyDescent="0.3">
      <c r="B4" s="17">
        <v>41277</v>
      </c>
      <c r="C4" s="18">
        <v>34</v>
      </c>
      <c r="D4" s="18"/>
      <c r="E4" s="18"/>
      <c r="F4" s="18"/>
      <c r="G4" s="18"/>
      <c r="H4" s="18"/>
      <c r="I4" s="18"/>
      <c r="J4" s="18"/>
      <c r="K4" s="18">
        <v>34</v>
      </c>
    </row>
    <row r="5" spans="2:11" x14ac:dyDescent="0.3">
      <c r="B5" s="17">
        <v>41294</v>
      </c>
      <c r="C5" s="18">
        <v>10</v>
      </c>
      <c r="D5" s="18"/>
      <c r="E5" s="18">
        <v>50</v>
      </c>
      <c r="F5" s="18"/>
      <c r="G5" s="18"/>
      <c r="H5" s="18"/>
      <c r="I5" s="18"/>
      <c r="J5" s="18"/>
      <c r="K5" s="18">
        <v>60</v>
      </c>
    </row>
    <row r="6" spans="2:11" x14ac:dyDescent="0.3">
      <c r="B6" s="17">
        <v>41299</v>
      </c>
      <c r="C6" s="18">
        <v>20</v>
      </c>
      <c r="D6" s="18"/>
      <c r="E6" s="18"/>
      <c r="F6" s="18"/>
      <c r="G6" s="18"/>
      <c r="H6" s="18"/>
      <c r="I6" s="18"/>
      <c r="J6" s="18"/>
      <c r="K6" s="18">
        <v>20</v>
      </c>
    </row>
    <row r="7" spans="2:11" x14ac:dyDescent="0.3">
      <c r="B7" s="17">
        <v>41300</v>
      </c>
      <c r="C7" s="18">
        <v>30</v>
      </c>
      <c r="D7" s="18"/>
      <c r="E7" s="18"/>
      <c r="F7" s="18"/>
      <c r="G7" s="18"/>
      <c r="H7" s="18"/>
      <c r="I7" s="18"/>
      <c r="J7" s="18"/>
      <c r="K7" s="18">
        <v>30</v>
      </c>
    </row>
    <row r="8" spans="2:11" x14ac:dyDescent="0.3">
      <c r="B8" s="17">
        <v>41301</v>
      </c>
      <c r="C8" s="18">
        <v>40</v>
      </c>
      <c r="D8" s="18"/>
      <c r="E8" s="18"/>
      <c r="F8" s="18"/>
      <c r="G8" s="18"/>
      <c r="H8" s="18"/>
      <c r="I8" s="18"/>
      <c r="J8" s="18"/>
      <c r="K8" s="18">
        <v>40</v>
      </c>
    </row>
    <row r="9" spans="2:11" x14ac:dyDescent="0.3">
      <c r="B9" s="17">
        <v>41316</v>
      </c>
      <c r="C9" s="18"/>
      <c r="D9" s="18"/>
      <c r="E9" s="18">
        <v>87</v>
      </c>
      <c r="F9" s="18"/>
      <c r="G9" s="18"/>
      <c r="H9" s="18"/>
      <c r="I9" s="18"/>
      <c r="J9" s="18"/>
      <c r="K9" s="18">
        <v>87</v>
      </c>
    </row>
    <row r="10" spans="2:11" x14ac:dyDescent="0.3">
      <c r="B10" s="17">
        <v>41317</v>
      </c>
      <c r="C10" s="18"/>
      <c r="D10" s="18">
        <v>40</v>
      </c>
      <c r="E10" s="18"/>
      <c r="F10" s="18"/>
      <c r="G10" s="18"/>
      <c r="H10" s="18"/>
      <c r="I10" s="18"/>
      <c r="J10" s="18"/>
      <c r="K10" s="18">
        <v>40</v>
      </c>
    </row>
    <row r="11" spans="2:11" x14ac:dyDescent="0.3">
      <c r="B11" s="17">
        <v>41318</v>
      </c>
      <c r="C11" s="18"/>
      <c r="D11" s="18"/>
      <c r="E11" s="18">
        <v>100</v>
      </c>
      <c r="F11" s="18"/>
      <c r="G11" s="18"/>
      <c r="H11" s="18">
        <v>100</v>
      </c>
      <c r="I11" s="18"/>
      <c r="J11" s="18"/>
      <c r="K11" s="18">
        <v>200</v>
      </c>
    </row>
    <row r="12" spans="2:11" x14ac:dyDescent="0.3">
      <c r="B12" s="17">
        <v>41325</v>
      </c>
      <c r="C12" s="18"/>
      <c r="D12" s="18"/>
      <c r="E12" s="18"/>
      <c r="F12" s="18">
        <v>30</v>
      </c>
      <c r="G12" s="18"/>
      <c r="H12" s="18"/>
      <c r="I12" s="18"/>
      <c r="J12" s="18"/>
      <c r="K12" s="18">
        <v>30</v>
      </c>
    </row>
    <row r="13" spans="2:11" x14ac:dyDescent="0.3">
      <c r="B13" s="17">
        <v>41328</v>
      </c>
      <c r="C13" s="18"/>
      <c r="D13" s="18"/>
      <c r="E13" s="18">
        <v>25</v>
      </c>
      <c r="F13" s="18"/>
      <c r="G13" s="18"/>
      <c r="H13" s="18"/>
      <c r="I13" s="18"/>
      <c r="J13" s="18"/>
      <c r="K13" s="18">
        <v>25</v>
      </c>
    </row>
    <row r="14" spans="2:11" x14ac:dyDescent="0.3">
      <c r="B14" s="17">
        <v>41332</v>
      </c>
      <c r="C14" s="18"/>
      <c r="D14" s="18"/>
      <c r="E14" s="18"/>
      <c r="F14" s="18"/>
      <c r="G14" s="18"/>
      <c r="H14" s="18"/>
      <c r="I14" s="18"/>
      <c r="J14" s="18">
        <v>40</v>
      </c>
      <c r="K14" s="18">
        <v>40</v>
      </c>
    </row>
    <row r="15" spans="2:11" x14ac:dyDescent="0.3">
      <c r="B15" s="17">
        <v>41340</v>
      </c>
      <c r="C15" s="18"/>
      <c r="D15" s="18"/>
      <c r="E15" s="18"/>
      <c r="F15" s="18"/>
      <c r="G15" s="18">
        <v>37</v>
      </c>
      <c r="H15" s="18"/>
      <c r="I15" s="18"/>
      <c r="J15" s="18"/>
      <c r="K15" s="18">
        <v>37</v>
      </c>
    </row>
    <row r="16" spans="2:11" x14ac:dyDescent="0.3">
      <c r="B16" s="17">
        <v>41344</v>
      </c>
      <c r="C16" s="18"/>
      <c r="D16" s="18"/>
      <c r="E16" s="18"/>
      <c r="F16" s="18"/>
      <c r="G16" s="18"/>
      <c r="H16" s="18">
        <v>10</v>
      </c>
      <c r="I16" s="18"/>
      <c r="J16" s="18"/>
      <c r="K16" s="18">
        <v>10</v>
      </c>
    </row>
    <row r="17" spans="2:11" x14ac:dyDescent="0.3">
      <c r="B17" s="17">
        <v>41350</v>
      </c>
      <c r="C17" s="18"/>
      <c r="D17" s="18"/>
      <c r="E17" s="18">
        <v>62</v>
      </c>
      <c r="F17" s="18"/>
      <c r="G17" s="18"/>
      <c r="H17" s="18"/>
      <c r="I17" s="18"/>
      <c r="J17" s="18"/>
      <c r="K17" s="18">
        <v>62</v>
      </c>
    </row>
    <row r="18" spans="2:11" x14ac:dyDescent="0.3">
      <c r="B18" s="17">
        <v>41352</v>
      </c>
      <c r="C18" s="18"/>
      <c r="D18" s="18"/>
      <c r="E18" s="18">
        <v>300</v>
      </c>
      <c r="F18" s="18"/>
      <c r="G18" s="18"/>
      <c r="H18" s="18"/>
      <c r="I18" s="18"/>
      <c r="J18" s="18"/>
      <c r="K18" s="18">
        <v>300</v>
      </c>
    </row>
    <row r="19" spans="2:11" x14ac:dyDescent="0.3">
      <c r="B19" s="17">
        <v>41353</v>
      </c>
      <c r="C19" s="18"/>
      <c r="D19" s="18"/>
      <c r="E19" s="18"/>
      <c r="F19" s="18">
        <v>20</v>
      </c>
      <c r="G19" s="18"/>
      <c r="H19" s="18"/>
      <c r="I19" s="18"/>
      <c r="J19" s="18"/>
      <c r="K19" s="18">
        <v>20</v>
      </c>
    </row>
    <row r="20" spans="2:11" x14ac:dyDescent="0.3">
      <c r="B20" s="17">
        <v>41354</v>
      </c>
      <c r="C20" s="18">
        <v>40</v>
      </c>
      <c r="D20" s="18"/>
      <c r="E20" s="18"/>
      <c r="F20" s="18"/>
      <c r="G20" s="18"/>
      <c r="H20" s="18"/>
      <c r="I20" s="18"/>
      <c r="J20" s="18"/>
      <c r="K20" s="18">
        <v>40</v>
      </c>
    </row>
    <row r="21" spans="2:11" x14ac:dyDescent="0.3">
      <c r="B21" s="17">
        <v>41355</v>
      </c>
      <c r="C21" s="18"/>
      <c r="D21" s="18"/>
      <c r="E21" s="18"/>
      <c r="F21" s="18"/>
      <c r="G21" s="18">
        <v>30</v>
      </c>
      <c r="H21" s="18"/>
      <c r="I21" s="18"/>
      <c r="J21" s="18">
        <v>50</v>
      </c>
      <c r="K21" s="18">
        <v>80</v>
      </c>
    </row>
    <row r="22" spans="2:11" x14ac:dyDescent="0.3">
      <c r="B22" s="17">
        <v>41356</v>
      </c>
      <c r="C22" s="18"/>
      <c r="D22" s="18"/>
      <c r="E22" s="18">
        <v>15</v>
      </c>
      <c r="F22" s="18"/>
      <c r="G22" s="18"/>
      <c r="H22" s="18"/>
      <c r="I22" s="18"/>
      <c r="J22" s="18"/>
      <c r="K22" s="18">
        <v>15</v>
      </c>
    </row>
    <row r="23" spans="2:11" x14ac:dyDescent="0.3">
      <c r="B23" s="17">
        <v>41358</v>
      </c>
      <c r="C23" s="18"/>
      <c r="D23" s="18"/>
      <c r="E23" s="18">
        <v>200</v>
      </c>
      <c r="F23" s="18"/>
      <c r="G23" s="18"/>
      <c r="H23" s="18"/>
      <c r="I23" s="18"/>
      <c r="J23" s="18"/>
      <c r="K23" s="18">
        <v>200</v>
      </c>
    </row>
    <row r="24" spans="2:11" x14ac:dyDescent="0.3">
      <c r="B24" s="17">
        <v>41359</v>
      </c>
      <c r="C24" s="18"/>
      <c r="D24" s="18"/>
      <c r="E24" s="18"/>
      <c r="F24" s="18"/>
      <c r="G24" s="18">
        <v>50</v>
      </c>
      <c r="H24" s="18"/>
      <c r="I24" s="18"/>
      <c r="J24" s="18"/>
      <c r="K24" s="18">
        <v>50</v>
      </c>
    </row>
    <row r="25" spans="2:11" x14ac:dyDescent="0.3">
      <c r="B25" s="17">
        <v>41360</v>
      </c>
      <c r="C25" s="18"/>
      <c r="D25" s="18"/>
      <c r="E25" s="18"/>
      <c r="F25" s="18"/>
      <c r="G25" s="18">
        <v>25</v>
      </c>
      <c r="H25" s="18"/>
      <c r="I25" s="18"/>
      <c r="J25" s="18"/>
      <c r="K25" s="18">
        <v>25</v>
      </c>
    </row>
    <row r="26" spans="2:11" x14ac:dyDescent="0.3">
      <c r="B26" s="17">
        <v>41369</v>
      </c>
      <c r="C26" s="18"/>
      <c r="D26" s="18"/>
      <c r="E26" s="18"/>
      <c r="F26" s="18"/>
      <c r="G26" s="18">
        <v>57</v>
      </c>
      <c r="H26" s="18"/>
      <c r="I26" s="18"/>
      <c r="J26" s="18"/>
      <c r="K26" s="18">
        <v>57</v>
      </c>
    </row>
    <row r="27" spans="2:11" x14ac:dyDescent="0.3">
      <c r="B27" s="17">
        <v>41375</v>
      </c>
      <c r="C27" s="18"/>
      <c r="D27" s="18"/>
      <c r="E27" s="18"/>
      <c r="F27" s="18"/>
      <c r="G27" s="18">
        <v>90</v>
      </c>
      <c r="H27" s="18"/>
      <c r="I27" s="18"/>
      <c r="J27" s="18"/>
      <c r="K27" s="18">
        <v>90</v>
      </c>
    </row>
    <row r="28" spans="2:11" x14ac:dyDescent="0.3">
      <c r="B28" s="17">
        <v>41382</v>
      </c>
      <c r="C28" s="18">
        <v>90</v>
      </c>
      <c r="D28" s="18"/>
      <c r="E28" s="18"/>
      <c r="F28" s="18"/>
      <c r="G28" s="18"/>
      <c r="H28" s="18"/>
      <c r="I28" s="18"/>
      <c r="J28" s="18"/>
      <c r="K28" s="18">
        <v>90</v>
      </c>
    </row>
    <row r="29" spans="2:11" x14ac:dyDescent="0.3">
      <c r="B29" s="17">
        <v>41390</v>
      </c>
      <c r="C29" s="18"/>
      <c r="D29" s="18"/>
      <c r="E29" s="18">
        <v>15</v>
      </c>
      <c r="F29" s="18"/>
      <c r="G29" s="18"/>
      <c r="H29" s="18"/>
      <c r="I29" s="18"/>
      <c r="J29" s="18"/>
      <c r="K29" s="18">
        <v>15</v>
      </c>
    </row>
    <row r="30" spans="2:11" x14ac:dyDescent="0.3">
      <c r="B30" s="17">
        <v>41393</v>
      </c>
      <c r="C30" s="18"/>
      <c r="D30" s="18"/>
      <c r="E30" s="18">
        <v>300</v>
      </c>
      <c r="F30" s="18"/>
      <c r="G30" s="18"/>
      <c r="H30" s="18"/>
      <c r="I30" s="18"/>
      <c r="J30" s="18"/>
      <c r="K30" s="18">
        <v>300</v>
      </c>
    </row>
    <row r="31" spans="2:11" x14ac:dyDescent="0.3">
      <c r="B31" s="17">
        <v>41394</v>
      </c>
      <c r="C31" s="18"/>
      <c r="D31" s="18"/>
      <c r="E31" s="18"/>
      <c r="F31" s="18">
        <v>10</v>
      </c>
      <c r="G31" s="18"/>
      <c r="H31" s="18"/>
      <c r="I31" s="18"/>
      <c r="J31" s="18"/>
      <c r="K31" s="18">
        <v>10</v>
      </c>
    </row>
    <row r="32" spans="2:11" x14ac:dyDescent="0.3">
      <c r="B32" s="17">
        <v>41405</v>
      </c>
      <c r="C32" s="18"/>
      <c r="D32" s="18"/>
      <c r="E32" s="18">
        <v>5</v>
      </c>
      <c r="F32" s="18"/>
      <c r="G32" s="18"/>
      <c r="H32" s="18"/>
      <c r="I32" s="18"/>
      <c r="J32" s="18"/>
      <c r="K32" s="18">
        <v>5</v>
      </c>
    </row>
    <row r="33" spans="2:11" x14ac:dyDescent="0.3">
      <c r="B33" s="17">
        <v>41412</v>
      </c>
      <c r="C33" s="18"/>
      <c r="D33" s="18"/>
      <c r="E33" s="18"/>
      <c r="F33" s="18">
        <v>16</v>
      </c>
      <c r="G33" s="18"/>
      <c r="H33" s="18"/>
      <c r="I33" s="18"/>
      <c r="J33" s="18"/>
      <c r="K33" s="18">
        <v>16</v>
      </c>
    </row>
    <row r="34" spans="2:11" x14ac:dyDescent="0.3">
      <c r="B34" s="17">
        <v>41414</v>
      </c>
      <c r="C34" s="18"/>
      <c r="D34" s="18"/>
      <c r="E34" s="18"/>
      <c r="F34" s="18">
        <v>20</v>
      </c>
      <c r="G34" s="18"/>
      <c r="H34" s="18"/>
      <c r="I34" s="18"/>
      <c r="J34" s="18"/>
      <c r="K34" s="18">
        <v>20</v>
      </c>
    </row>
    <row r="35" spans="2:11" x14ac:dyDescent="0.3">
      <c r="B35" s="17">
        <v>41427</v>
      </c>
      <c r="C35" s="18">
        <v>40</v>
      </c>
      <c r="D35" s="18"/>
      <c r="E35" s="18"/>
      <c r="F35" s="18"/>
      <c r="G35" s="18"/>
      <c r="H35" s="18"/>
      <c r="I35" s="18"/>
      <c r="J35" s="18"/>
      <c r="K35" s="18">
        <v>40</v>
      </c>
    </row>
    <row r="36" spans="2:11" x14ac:dyDescent="0.3">
      <c r="B36" s="17">
        <v>41433</v>
      </c>
      <c r="C36" s="18"/>
      <c r="D36" s="18"/>
      <c r="E36" s="18"/>
      <c r="F36" s="18">
        <v>10</v>
      </c>
      <c r="G36" s="18"/>
      <c r="H36" s="18"/>
      <c r="I36" s="18"/>
      <c r="J36" s="18"/>
      <c r="K36" s="18">
        <v>10</v>
      </c>
    </row>
    <row r="37" spans="2:11" x14ac:dyDescent="0.3">
      <c r="B37" s="17">
        <v>41435</v>
      </c>
      <c r="C37" s="18">
        <v>10</v>
      </c>
      <c r="D37" s="18"/>
      <c r="E37" s="18">
        <v>25</v>
      </c>
      <c r="F37" s="18"/>
      <c r="G37" s="18"/>
      <c r="H37" s="18"/>
      <c r="I37" s="18"/>
      <c r="J37" s="18"/>
      <c r="K37" s="18">
        <v>35</v>
      </c>
    </row>
    <row r="38" spans="2:11" x14ac:dyDescent="0.3">
      <c r="B38" s="17">
        <v>41436</v>
      </c>
      <c r="C38" s="18"/>
      <c r="D38" s="18"/>
      <c r="E38" s="18"/>
      <c r="F38" s="18">
        <v>55</v>
      </c>
      <c r="G38" s="18"/>
      <c r="H38" s="18"/>
      <c r="I38" s="18"/>
      <c r="J38" s="18"/>
      <c r="K38" s="18">
        <v>55</v>
      </c>
    </row>
    <row r="39" spans="2:11" x14ac:dyDescent="0.3">
      <c r="B39" s="17">
        <v>41438</v>
      </c>
      <c r="C39" s="18"/>
      <c r="D39" s="18"/>
      <c r="E39" s="18"/>
      <c r="F39" s="18"/>
      <c r="G39" s="18"/>
      <c r="H39" s="18">
        <v>40</v>
      </c>
      <c r="I39" s="18"/>
      <c r="J39" s="18"/>
      <c r="K39" s="18">
        <v>40</v>
      </c>
    </row>
    <row r="40" spans="2:11" x14ac:dyDescent="0.3">
      <c r="B40" s="17">
        <v>41444</v>
      </c>
      <c r="C40" s="18"/>
      <c r="D40" s="18"/>
      <c r="E40" s="18"/>
      <c r="F40" s="18">
        <v>10</v>
      </c>
      <c r="G40" s="18"/>
      <c r="H40" s="18"/>
      <c r="I40" s="18"/>
      <c r="J40" s="18"/>
      <c r="K40" s="18">
        <v>10</v>
      </c>
    </row>
    <row r="41" spans="2:11" x14ac:dyDescent="0.3">
      <c r="B41" s="17">
        <v>41445</v>
      </c>
      <c r="C41" s="18"/>
      <c r="D41" s="18"/>
      <c r="E41" s="18"/>
      <c r="F41" s="18"/>
      <c r="G41" s="18">
        <v>10</v>
      </c>
      <c r="H41" s="18"/>
      <c r="I41" s="18"/>
      <c r="J41" s="18"/>
      <c r="K41" s="18">
        <v>10</v>
      </c>
    </row>
    <row r="42" spans="2:11" x14ac:dyDescent="0.3">
      <c r="B42" s="17">
        <v>41455</v>
      </c>
      <c r="C42" s="18"/>
      <c r="D42" s="18"/>
      <c r="E42" s="18"/>
      <c r="F42" s="18">
        <v>30</v>
      </c>
      <c r="G42" s="18"/>
      <c r="H42" s="18"/>
      <c r="I42" s="18"/>
      <c r="J42" s="18"/>
      <c r="K42" s="18">
        <v>30</v>
      </c>
    </row>
    <row r="43" spans="2:11" x14ac:dyDescent="0.3">
      <c r="B43" s="17">
        <v>41463</v>
      </c>
      <c r="C43" s="18">
        <v>35</v>
      </c>
      <c r="D43" s="18"/>
      <c r="E43" s="18"/>
      <c r="F43" s="18"/>
      <c r="G43" s="18"/>
      <c r="H43" s="18"/>
      <c r="I43" s="18"/>
      <c r="J43" s="18"/>
      <c r="K43" s="18">
        <v>35</v>
      </c>
    </row>
    <row r="44" spans="2:11" x14ac:dyDescent="0.3">
      <c r="B44" s="17">
        <v>41483</v>
      </c>
      <c r="C44" s="18"/>
      <c r="D44" s="18"/>
      <c r="E44" s="18"/>
      <c r="F44" s="18"/>
      <c r="G44" s="18"/>
      <c r="H44" s="18"/>
      <c r="I44" s="18"/>
      <c r="J44" s="18">
        <v>10</v>
      </c>
      <c r="K44" s="18">
        <v>10</v>
      </c>
    </row>
    <row r="45" spans="2:11" x14ac:dyDescent="0.3">
      <c r="B45" s="17">
        <v>41486</v>
      </c>
      <c r="C45" s="18"/>
      <c r="D45" s="18"/>
      <c r="E45" s="18"/>
      <c r="F45" s="18"/>
      <c r="G45" s="18"/>
      <c r="H45" s="18"/>
      <c r="I45" s="18"/>
      <c r="J45" s="18">
        <v>50</v>
      </c>
      <c r="K45" s="18">
        <v>50</v>
      </c>
    </row>
    <row r="46" spans="2:11" x14ac:dyDescent="0.3">
      <c r="B46" s="17">
        <v>41488</v>
      </c>
      <c r="C46" s="18"/>
      <c r="D46" s="18"/>
      <c r="E46" s="18"/>
      <c r="F46" s="18"/>
      <c r="G46" s="18"/>
      <c r="H46" s="18"/>
      <c r="I46" s="18"/>
      <c r="J46" s="18">
        <v>30</v>
      </c>
      <c r="K46" s="18">
        <v>30</v>
      </c>
    </row>
    <row r="47" spans="2:11" x14ac:dyDescent="0.3">
      <c r="B47" s="17">
        <v>41492</v>
      </c>
      <c r="C47" s="18"/>
      <c r="D47" s="18"/>
      <c r="E47" s="18">
        <v>90</v>
      </c>
      <c r="F47" s="18"/>
      <c r="G47" s="18"/>
      <c r="H47" s="18"/>
      <c r="I47" s="18"/>
      <c r="J47" s="18"/>
      <c r="K47" s="18">
        <v>90</v>
      </c>
    </row>
    <row r="48" spans="2:11" x14ac:dyDescent="0.3">
      <c r="B48" s="17">
        <v>41497</v>
      </c>
      <c r="C48" s="18"/>
      <c r="D48" s="18"/>
      <c r="E48" s="18"/>
      <c r="F48" s="18"/>
      <c r="G48" s="18">
        <v>10</v>
      </c>
      <c r="H48" s="18"/>
      <c r="I48" s="18"/>
      <c r="J48" s="18"/>
      <c r="K48" s="18">
        <v>10</v>
      </c>
    </row>
    <row r="49" spans="2:11" x14ac:dyDescent="0.3">
      <c r="B49" s="17">
        <v>41499</v>
      </c>
      <c r="C49" s="18">
        <v>10</v>
      </c>
      <c r="D49" s="18"/>
      <c r="E49" s="18"/>
      <c r="F49" s="18"/>
      <c r="G49" s="18"/>
      <c r="H49" s="18"/>
      <c r="I49" s="18"/>
      <c r="J49" s="18"/>
      <c r="K49" s="18">
        <v>10</v>
      </c>
    </row>
    <row r="50" spans="2:11" x14ac:dyDescent="0.3">
      <c r="B50" s="17">
        <v>41503</v>
      </c>
      <c r="C50" s="18"/>
      <c r="D50" s="18"/>
      <c r="E50" s="18"/>
      <c r="F50" s="18"/>
      <c r="G50" s="18"/>
      <c r="H50" s="18">
        <v>5</v>
      </c>
      <c r="I50" s="18"/>
      <c r="J50" s="18"/>
      <c r="K50" s="18">
        <v>5</v>
      </c>
    </row>
    <row r="51" spans="2:11" x14ac:dyDescent="0.3">
      <c r="B51" s="17">
        <v>41506</v>
      </c>
      <c r="C51" s="18">
        <v>20</v>
      </c>
      <c r="D51" s="18"/>
      <c r="E51" s="18"/>
      <c r="F51" s="18"/>
      <c r="G51" s="18"/>
      <c r="H51" s="18"/>
      <c r="I51" s="18"/>
      <c r="J51" s="18"/>
      <c r="K51" s="18">
        <v>20</v>
      </c>
    </row>
    <row r="52" spans="2:11" x14ac:dyDescent="0.3">
      <c r="B52" s="17">
        <v>41520</v>
      </c>
      <c r="C52" s="18">
        <v>25</v>
      </c>
      <c r="D52" s="18"/>
      <c r="E52" s="18"/>
      <c r="F52" s="18"/>
      <c r="G52" s="18"/>
      <c r="H52" s="18"/>
      <c r="I52" s="18"/>
      <c r="J52" s="18"/>
      <c r="K52" s="18">
        <v>25</v>
      </c>
    </row>
    <row r="53" spans="2:11" x14ac:dyDescent="0.3">
      <c r="B53" s="17">
        <v>41521</v>
      </c>
      <c r="C53" s="18"/>
      <c r="D53" s="18"/>
      <c r="E53" s="18"/>
      <c r="F53" s="18"/>
      <c r="G53" s="18"/>
      <c r="H53" s="18"/>
      <c r="I53" s="18"/>
      <c r="J53" s="18">
        <v>30</v>
      </c>
      <c r="K53" s="18">
        <v>30</v>
      </c>
    </row>
    <row r="54" spans="2:11" x14ac:dyDescent="0.3">
      <c r="B54" s="17">
        <v>41529</v>
      </c>
      <c r="C54" s="18"/>
      <c r="D54" s="18"/>
      <c r="E54" s="18"/>
      <c r="F54" s="18"/>
      <c r="G54" s="18"/>
      <c r="H54" s="18"/>
      <c r="I54" s="18"/>
      <c r="J54" s="18">
        <v>200</v>
      </c>
      <c r="K54" s="18">
        <v>200</v>
      </c>
    </row>
    <row r="55" spans="2:11" x14ac:dyDescent="0.3">
      <c r="B55" s="17">
        <v>41543</v>
      </c>
      <c r="C55" s="18"/>
      <c r="D55" s="18"/>
      <c r="E55" s="18"/>
      <c r="F55" s="18">
        <v>72</v>
      </c>
      <c r="G55" s="18"/>
      <c r="H55" s="18"/>
      <c r="I55" s="18"/>
      <c r="J55" s="18"/>
      <c r="K55" s="18">
        <v>72</v>
      </c>
    </row>
    <row r="56" spans="2:11" x14ac:dyDescent="0.3">
      <c r="B56" s="17">
        <v>41566</v>
      </c>
      <c r="C56" s="18"/>
      <c r="D56" s="18"/>
      <c r="E56" s="18"/>
      <c r="F56" s="18"/>
      <c r="G56" s="18">
        <v>105</v>
      </c>
      <c r="H56" s="18"/>
      <c r="I56" s="18"/>
      <c r="J56" s="18"/>
      <c r="K56" s="18">
        <v>105</v>
      </c>
    </row>
    <row r="57" spans="2:11" x14ac:dyDescent="0.3">
      <c r="B57" s="17">
        <v>41569</v>
      </c>
      <c r="C57" s="18"/>
      <c r="D57" s="18"/>
      <c r="E57" s="18">
        <v>74</v>
      </c>
      <c r="F57" s="18"/>
      <c r="G57" s="18"/>
      <c r="H57" s="18"/>
      <c r="I57" s="18"/>
      <c r="J57" s="18"/>
      <c r="K57" s="18">
        <v>74</v>
      </c>
    </row>
    <row r="58" spans="2:11" x14ac:dyDescent="0.3">
      <c r="B58" s="17">
        <v>41575</v>
      </c>
      <c r="C58" s="18">
        <v>100</v>
      </c>
      <c r="D58" s="18"/>
      <c r="E58" s="18"/>
      <c r="F58" s="18"/>
      <c r="G58" s="18"/>
      <c r="H58" s="18"/>
      <c r="I58" s="18"/>
      <c r="J58" s="18"/>
      <c r="K58" s="18">
        <v>100</v>
      </c>
    </row>
    <row r="59" spans="2:11" x14ac:dyDescent="0.3">
      <c r="B59" s="17">
        <v>41576</v>
      </c>
      <c r="C59" s="18"/>
      <c r="D59" s="18"/>
      <c r="E59" s="18">
        <v>25</v>
      </c>
      <c r="F59" s="18"/>
      <c r="G59" s="18"/>
      <c r="H59" s="18"/>
      <c r="I59" s="18"/>
      <c r="J59" s="18"/>
      <c r="K59" s="18">
        <v>25</v>
      </c>
    </row>
    <row r="60" spans="2:11" x14ac:dyDescent="0.3">
      <c r="B60" s="17">
        <v>41577</v>
      </c>
      <c r="C60" s="18"/>
      <c r="D60" s="18"/>
      <c r="E60" s="18"/>
      <c r="F60" s="18"/>
      <c r="G60" s="18"/>
      <c r="H60" s="18"/>
      <c r="I60" s="18"/>
      <c r="J60" s="18">
        <v>58</v>
      </c>
      <c r="K60" s="18">
        <v>58</v>
      </c>
    </row>
    <row r="61" spans="2:11" x14ac:dyDescent="0.3">
      <c r="B61" s="17">
        <v>41579</v>
      </c>
      <c r="C61" s="18"/>
      <c r="D61" s="18"/>
      <c r="E61" s="18">
        <v>46</v>
      </c>
      <c r="F61" s="18"/>
      <c r="G61" s="18"/>
      <c r="H61" s="18"/>
      <c r="I61" s="18"/>
      <c r="J61" s="18"/>
      <c r="K61" s="18">
        <v>46</v>
      </c>
    </row>
    <row r="62" spans="2:11" x14ac:dyDescent="0.3">
      <c r="B62" s="17">
        <v>41584</v>
      </c>
      <c r="C62" s="18"/>
      <c r="D62" s="18"/>
      <c r="E62" s="18"/>
      <c r="F62" s="18"/>
      <c r="G62" s="18">
        <v>3</v>
      </c>
      <c r="H62" s="18"/>
      <c r="I62" s="18"/>
      <c r="J62" s="18"/>
      <c r="K62" s="18">
        <v>3</v>
      </c>
    </row>
    <row r="63" spans="2:11" x14ac:dyDescent="0.3">
      <c r="B63" s="17">
        <v>41589</v>
      </c>
      <c r="C63" s="18"/>
      <c r="D63" s="18">
        <v>50</v>
      </c>
      <c r="E63" s="18"/>
      <c r="F63" s="18"/>
      <c r="G63" s="18"/>
      <c r="H63" s="18"/>
      <c r="I63" s="18"/>
      <c r="J63" s="18"/>
      <c r="K63" s="18">
        <v>50</v>
      </c>
    </row>
    <row r="64" spans="2:11" x14ac:dyDescent="0.3">
      <c r="B64" s="17">
        <v>41593</v>
      </c>
      <c r="C64" s="18"/>
      <c r="D64" s="18"/>
      <c r="E64" s="18">
        <v>300</v>
      </c>
      <c r="F64" s="18"/>
      <c r="G64" s="18"/>
      <c r="H64" s="18"/>
      <c r="I64" s="18"/>
      <c r="J64" s="18"/>
      <c r="K64" s="18">
        <v>300</v>
      </c>
    </row>
    <row r="65" spans="2:11" x14ac:dyDescent="0.3">
      <c r="B65" s="17">
        <v>41595</v>
      </c>
      <c r="C65" s="18">
        <v>12</v>
      </c>
      <c r="D65" s="18"/>
      <c r="E65" s="18"/>
      <c r="F65" s="18"/>
      <c r="G65" s="18"/>
      <c r="H65" s="18"/>
      <c r="I65" s="18"/>
      <c r="J65" s="18"/>
      <c r="K65" s="18">
        <v>12</v>
      </c>
    </row>
    <row r="66" spans="2:11" x14ac:dyDescent="0.3">
      <c r="B66" s="17">
        <v>41599</v>
      </c>
      <c r="C66" s="18"/>
      <c r="D66" s="18"/>
      <c r="E66" s="18"/>
      <c r="F66" s="18">
        <v>15</v>
      </c>
      <c r="G66" s="18">
        <v>39</v>
      </c>
      <c r="H66" s="18"/>
      <c r="I66" s="18"/>
      <c r="J66" s="18"/>
      <c r="K66" s="18">
        <v>54</v>
      </c>
    </row>
    <row r="67" spans="2:11" x14ac:dyDescent="0.3">
      <c r="B67" s="17">
        <v>41603</v>
      </c>
      <c r="C67" s="18"/>
      <c r="D67" s="18"/>
      <c r="E67" s="18"/>
      <c r="F67" s="18"/>
      <c r="G67" s="18"/>
      <c r="H67" s="18"/>
      <c r="I67" s="18">
        <v>40</v>
      </c>
      <c r="J67" s="18"/>
      <c r="K67" s="18">
        <v>40</v>
      </c>
    </row>
    <row r="68" spans="2:11" x14ac:dyDescent="0.3">
      <c r="B68" s="17">
        <v>41606</v>
      </c>
      <c r="C68" s="18"/>
      <c r="D68" s="18"/>
      <c r="E68" s="18">
        <v>90</v>
      </c>
      <c r="F68" s="18">
        <v>30</v>
      </c>
      <c r="G68" s="18"/>
      <c r="H68" s="18"/>
      <c r="I68" s="18"/>
      <c r="J68" s="18"/>
      <c r="K68" s="18">
        <v>120</v>
      </c>
    </row>
    <row r="69" spans="2:11" x14ac:dyDescent="0.3">
      <c r="B69" s="17">
        <v>41623</v>
      </c>
      <c r="C69" s="18"/>
      <c r="D69" s="18"/>
      <c r="E69" s="18">
        <v>20</v>
      </c>
      <c r="F69" s="18"/>
      <c r="G69" s="18"/>
      <c r="H69" s="18"/>
      <c r="I69" s="18"/>
      <c r="J69" s="18"/>
      <c r="K69" s="18">
        <v>20</v>
      </c>
    </row>
    <row r="70" spans="2:11" x14ac:dyDescent="0.3">
      <c r="B70" s="17">
        <v>41628</v>
      </c>
      <c r="C70" s="18"/>
      <c r="D70" s="18"/>
      <c r="E70" s="18"/>
      <c r="F70" s="18">
        <v>31</v>
      </c>
      <c r="G70" s="18"/>
      <c r="H70" s="18"/>
      <c r="I70" s="18"/>
      <c r="J70" s="18"/>
      <c r="K70" s="18">
        <v>31</v>
      </c>
    </row>
    <row r="71" spans="2:11" x14ac:dyDescent="0.3">
      <c r="B71" s="17">
        <v>41635</v>
      </c>
      <c r="C71" s="18">
        <v>6</v>
      </c>
      <c r="D71" s="18"/>
      <c r="E71" s="18"/>
      <c r="F71" s="18"/>
      <c r="G71" s="18"/>
      <c r="H71" s="18"/>
      <c r="I71" s="18"/>
      <c r="J71" s="18"/>
      <c r="K71" s="18">
        <v>6</v>
      </c>
    </row>
    <row r="72" spans="2:11" x14ac:dyDescent="0.3">
      <c r="B72" s="17" t="s">
        <v>113</v>
      </c>
      <c r="C72" s="18">
        <v>522</v>
      </c>
      <c r="D72" s="18">
        <v>90</v>
      </c>
      <c r="E72" s="18">
        <v>1829</v>
      </c>
      <c r="F72" s="18">
        <v>349</v>
      </c>
      <c r="G72" s="18">
        <v>456</v>
      </c>
      <c r="H72" s="18">
        <v>155</v>
      </c>
      <c r="I72" s="18">
        <v>40</v>
      </c>
      <c r="J72" s="18">
        <v>468</v>
      </c>
      <c r="K72" s="18">
        <v>3909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2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Sheet2!Criteria</vt:lpstr>
      <vt:lpstr>Sheet4!Extract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Dodream</cp:lastModifiedBy>
  <dcterms:created xsi:type="dcterms:W3CDTF">2013-11-11T06:46:53Z</dcterms:created>
  <dcterms:modified xsi:type="dcterms:W3CDTF">2014-03-13T13:03:31Z</dcterms:modified>
</cp:coreProperties>
</file>