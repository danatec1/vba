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hidePivotFieldList="1" defaultThemeVersion="124226"/>
  <bookViews>
    <workbookView xWindow="5520" yWindow="-15" windowWidth="5580" windowHeight="4515" tabRatio="857"/>
  </bookViews>
  <sheets>
    <sheet name="Sheet1" sheetId="1" r:id="rId1"/>
    <sheet name="Sheet2" sheetId="4" r:id="rId2"/>
    <sheet name="Sheet3" sheetId="5" r:id="rId3"/>
  </sheets>
  <calcPr calcId="145621"/>
</workbook>
</file>

<file path=xl/calcChain.xml><?xml version="1.0" encoding="utf-8"?>
<calcChain xmlns="http://schemas.openxmlformats.org/spreadsheetml/2006/main">
  <c r="F8" i="1" l="1"/>
  <c r="F4" i="1"/>
  <c r="F5" i="1"/>
  <c r="F6" i="1"/>
  <c r="F7" i="1"/>
  <c r="C8" i="1"/>
  <c r="D8" i="1"/>
  <c r="E8" i="1"/>
  <c r="G80" i="4" l="1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</calcChain>
</file>

<file path=xl/sharedStrings.xml><?xml version="1.0" encoding="utf-8"?>
<sst xmlns="http://schemas.openxmlformats.org/spreadsheetml/2006/main" count="247" uniqueCount="118">
  <si>
    <t>드림식품 주문내역</t>
    <phoneticPr fontId="3" type="noConversion"/>
  </si>
  <si>
    <t>주문번호</t>
    <phoneticPr fontId="3" type="noConversion"/>
  </si>
  <si>
    <t>주문일자</t>
    <phoneticPr fontId="3" type="noConversion"/>
  </si>
  <si>
    <t>제품</t>
  </si>
  <si>
    <t>수량</t>
  </si>
  <si>
    <t>단가</t>
  </si>
  <si>
    <t>주문금액</t>
    <phoneticPr fontId="3" type="noConversion"/>
  </si>
  <si>
    <t>담당직원</t>
    <phoneticPr fontId="3" type="noConversion"/>
  </si>
  <si>
    <t>Do-001</t>
    <phoneticPr fontId="3" type="noConversion"/>
  </si>
  <si>
    <t>진미 트로피컬 캔디</t>
  </si>
  <si>
    <t>Park</t>
  </si>
  <si>
    <t>Do-002</t>
  </si>
  <si>
    <t>성보 야생 녹차</t>
  </si>
  <si>
    <t>Do-003</t>
  </si>
  <si>
    <t>Kim</t>
  </si>
  <si>
    <t>Do-004</t>
  </si>
  <si>
    <t>신한 초콜릿 소스</t>
  </si>
  <si>
    <t>Do-005</t>
  </si>
  <si>
    <t>Do-006</t>
  </si>
  <si>
    <t>대양 마말레이드</t>
  </si>
  <si>
    <t>Do-007</t>
  </si>
  <si>
    <t>태일 라이트 맥주</t>
  </si>
  <si>
    <t>Do-008</t>
  </si>
  <si>
    <t>대관령 특제 버터</t>
  </si>
  <si>
    <t>Do-009</t>
  </si>
  <si>
    <t>Lee</t>
  </si>
  <si>
    <t>Do-010</t>
  </si>
  <si>
    <t>한성 통밀가루</t>
  </si>
  <si>
    <t>Do-011</t>
  </si>
  <si>
    <t>대양 특선 건과(자두)</t>
  </si>
  <si>
    <t>Do-012</t>
  </si>
  <si>
    <t>태양 100% 오렌지 주스</t>
  </si>
  <si>
    <t>Do-013</t>
  </si>
  <si>
    <t>보스톤산 게살 통조림</t>
  </si>
  <si>
    <t>Do-014</t>
  </si>
  <si>
    <t>대양 특선 딸기 소스</t>
  </si>
  <si>
    <t>Do-015</t>
  </si>
  <si>
    <t>Do-016</t>
  </si>
  <si>
    <t>한성 옥수수 가루</t>
  </si>
  <si>
    <t>Do-017</t>
  </si>
  <si>
    <t>콜롬비아산 원두커피</t>
  </si>
  <si>
    <t>Do-018</t>
  </si>
  <si>
    <t>Do-019</t>
  </si>
  <si>
    <t>서울 구이 김</t>
  </si>
  <si>
    <t>Do-020</t>
  </si>
  <si>
    <t>Do-021</t>
  </si>
  <si>
    <t>훈제 대합조개 통조림</t>
  </si>
  <si>
    <t>Do-022</t>
  </si>
  <si>
    <t>신한 100% 복숭아 시럽</t>
  </si>
  <si>
    <t>Do-023</t>
  </si>
  <si>
    <t>Do-024</t>
  </si>
  <si>
    <t>Do-025</t>
  </si>
  <si>
    <t>태양 체리 시럽</t>
  </si>
  <si>
    <t>Do-026</t>
  </si>
  <si>
    <t>신한 100% 파인애플 시럽</t>
  </si>
  <si>
    <t>Do-027</t>
  </si>
  <si>
    <t>Do-028</t>
  </si>
  <si>
    <t>대양 특선 블루베리 잼</t>
  </si>
  <si>
    <t>Do-029</t>
  </si>
  <si>
    <t>Do-030</t>
  </si>
  <si>
    <t>Do-031</t>
  </si>
  <si>
    <t>Do-032</t>
  </si>
  <si>
    <t>Do-033</t>
  </si>
  <si>
    <t>Do-034</t>
  </si>
  <si>
    <t>Do-035</t>
  </si>
  <si>
    <t>Do-036</t>
  </si>
  <si>
    <t>Do-037</t>
  </si>
  <si>
    <t>대양 특선 건과(배)</t>
  </si>
  <si>
    <t>Do-038</t>
  </si>
  <si>
    <t>Do-039</t>
  </si>
  <si>
    <t>Do-040</t>
  </si>
  <si>
    <t>유림 사과 통조림</t>
  </si>
  <si>
    <t>Do-041</t>
  </si>
  <si>
    <t>필로 믹스</t>
  </si>
  <si>
    <t>Do-042</t>
  </si>
  <si>
    <t>Do-043</t>
  </si>
  <si>
    <t>Do-044</t>
  </si>
  <si>
    <t>Do-045</t>
  </si>
  <si>
    <t>Do-046</t>
  </si>
  <si>
    <t>Do-047</t>
  </si>
  <si>
    <t>Do-048</t>
  </si>
  <si>
    <t>Do-049</t>
  </si>
  <si>
    <t>Do-050</t>
  </si>
  <si>
    <t>Do-051</t>
  </si>
  <si>
    <t>Do-052</t>
  </si>
  <si>
    <t>Do-053</t>
  </si>
  <si>
    <t>대양 핫 케이크 소스</t>
  </si>
  <si>
    <t>Do-054</t>
  </si>
  <si>
    <t>Do-055</t>
  </si>
  <si>
    <t>Do-056</t>
  </si>
  <si>
    <t>Do-057</t>
  </si>
  <si>
    <t>Do-058</t>
  </si>
  <si>
    <t>Do-059</t>
  </si>
  <si>
    <t>Do-060</t>
  </si>
  <si>
    <t>Do-061</t>
  </si>
  <si>
    <t>Do-062</t>
  </si>
  <si>
    <t>Do-063</t>
  </si>
  <si>
    <t>Do-064</t>
  </si>
  <si>
    <t>Do-065</t>
  </si>
  <si>
    <t>Do-066</t>
  </si>
  <si>
    <t>Do-067</t>
  </si>
  <si>
    <t>Do-068</t>
  </si>
  <si>
    <t>Do-069</t>
  </si>
  <si>
    <t>Do-070</t>
  </si>
  <si>
    <t>Do-071</t>
  </si>
  <si>
    <t>앨리스 포장육</t>
  </si>
  <si>
    <t>Do-072</t>
  </si>
  <si>
    <t>Do-073</t>
  </si>
  <si>
    <t>Do-074</t>
  </si>
  <si>
    <t>Do-075</t>
  </si>
  <si>
    <t>Do-076</t>
  </si>
  <si>
    <t>1사분기</t>
  </si>
  <si>
    <t>2사분기</t>
  </si>
  <si>
    <t>3사분기</t>
  </si>
  <si>
    <t>4사분기</t>
  </si>
  <si>
    <t>구분</t>
    <phoneticPr fontId="3" type="noConversion"/>
  </si>
  <si>
    <t>담당직원</t>
    <phoneticPr fontId="3" type="noConversion"/>
  </si>
  <si>
    <t>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</si>
</sst>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1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b/>
      <sz val="10"/>
      <color theme="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3"/>
        <bgColor indexed="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5" fillId="0" borderId="0"/>
  </cellStyleXfs>
  <cellXfs count="15">
    <xf numFmtId="0" fontId="0" fillId="0" borderId="0" xfId="0">
      <alignment vertical="center"/>
    </xf>
    <xf numFmtId="0" fontId="4" fillId="2" borderId="1" xfId="0" applyFont="1" applyFill="1" applyBorder="1" applyAlignment="1">
      <alignment horizontal="center" vertical="center"/>
    </xf>
    <xf numFmtId="0" fontId="6" fillId="3" borderId="1" xfId="2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58" fontId="8" fillId="0" borderId="1" xfId="0" applyNumberFormat="1" applyFont="1" applyBorder="1" applyAlignment="1">
      <alignment horizontal="center" vertical="center"/>
    </xf>
    <xf numFmtId="0" fontId="9" fillId="0" borderId="1" xfId="2" applyFont="1" applyFill="1" applyBorder="1" applyAlignment="1">
      <alignment horizontal="center" vertical="center" wrapText="1"/>
    </xf>
    <xf numFmtId="41" fontId="9" fillId="0" borderId="1" xfId="1" applyFont="1" applyFill="1" applyBorder="1" applyAlignment="1">
      <alignment horizontal="center" vertical="center" wrapText="1"/>
    </xf>
    <xf numFmtId="0" fontId="8" fillId="0" borderId="0" xfId="0" applyFont="1">
      <alignment vertical="center"/>
    </xf>
    <xf numFmtId="0" fontId="8" fillId="0" borderId="1" xfId="0" applyFont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41" fontId="8" fillId="0" borderId="1" xfId="1" applyFont="1" applyBorder="1">
      <alignment vertical="center"/>
    </xf>
    <xf numFmtId="41" fontId="8" fillId="5" borderId="1" xfId="1" applyFont="1" applyFill="1" applyBorder="1">
      <alignment vertical="center"/>
    </xf>
    <xf numFmtId="0" fontId="10" fillId="4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3">
    <cellStyle name="쉼표 [0]" xfId="1" builtinId="6"/>
    <cellStyle name="표준" xfId="0" builtinId="0"/>
    <cellStyle name="표준_Sheet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8"/>
  <sheetViews>
    <sheetView tabSelected="1" zoomScaleNormal="100" workbookViewId="0">
      <selection activeCell="B2" sqref="B2:B3"/>
    </sheetView>
  </sheetViews>
  <sheetFormatPr defaultRowHeight="16.5" x14ac:dyDescent="0.3"/>
  <cols>
    <col min="1" max="1" width="3.625" customWidth="1"/>
    <col min="2" max="2" width="13" style="7" bestFit="1" customWidth="1"/>
    <col min="3" max="4" width="10.75" style="7" customWidth="1"/>
    <col min="5" max="5" width="10.75" customWidth="1"/>
    <col min="6" max="6" width="10.5" bestFit="1" customWidth="1"/>
  </cols>
  <sheetData>
    <row r="2" spans="2:6" x14ac:dyDescent="0.3">
      <c r="B2" s="13" t="s">
        <v>115</v>
      </c>
      <c r="C2" s="13" t="s">
        <v>116</v>
      </c>
      <c r="D2" s="13"/>
      <c r="E2" s="13"/>
      <c r="F2" s="13" t="s">
        <v>117</v>
      </c>
    </row>
    <row r="3" spans="2:6" x14ac:dyDescent="0.3">
      <c r="B3" s="13"/>
      <c r="C3" s="10" t="s">
        <v>14</v>
      </c>
      <c r="D3" s="10" t="s">
        <v>25</v>
      </c>
      <c r="E3" s="10" t="s">
        <v>10</v>
      </c>
      <c r="F3" s="13"/>
    </row>
    <row r="4" spans="2:6" x14ac:dyDescent="0.3">
      <c r="B4" s="8" t="s">
        <v>111</v>
      </c>
      <c r="C4" s="11">
        <v>5150100</v>
      </c>
      <c r="D4" s="11">
        <v>7763000</v>
      </c>
      <c r="E4" s="11">
        <v>11189500</v>
      </c>
      <c r="F4" s="11">
        <f t="shared" ref="F4:F7" si="0">SUM(C4:E4)</f>
        <v>24102600</v>
      </c>
    </row>
    <row r="5" spans="2:6" x14ac:dyDescent="0.3">
      <c r="B5" s="8" t="s">
        <v>112</v>
      </c>
      <c r="C5" s="11">
        <v>21625250</v>
      </c>
      <c r="D5" s="11">
        <v>1220000</v>
      </c>
      <c r="E5" s="11">
        <v>3145000</v>
      </c>
      <c r="F5" s="11">
        <f t="shared" si="0"/>
        <v>25990250</v>
      </c>
    </row>
    <row r="6" spans="2:6" x14ac:dyDescent="0.3">
      <c r="B6" s="8" t="s">
        <v>113</v>
      </c>
      <c r="C6" s="11">
        <v>5698500</v>
      </c>
      <c r="D6" s="11">
        <v>420000</v>
      </c>
      <c r="E6" s="11">
        <v>5259000</v>
      </c>
      <c r="F6" s="11">
        <f t="shared" si="0"/>
        <v>11377500</v>
      </c>
    </row>
    <row r="7" spans="2:6" x14ac:dyDescent="0.3">
      <c r="B7" s="8" t="s">
        <v>114</v>
      </c>
      <c r="C7" s="11">
        <v>3879500</v>
      </c>
      <c r="D7" s="11">
        <v>16523000</v>
      </c>
      <c r="E7" s="11">
        <v>10874900</v>
      </c>
      <c r="F7" s="11">
        <f t="shared" si="0"/>
        <v>31277400</v>
      </c>
    </row>
    <row r="8" spans="2:6" x14ac:dyDescent="0.3">
      <c r="B8" s="9" t="s">
        <v>117</v>
      </c>
      <c r="C8" s="12">
        <f>SUM(C4:C7)</f>
        <v>36353350</v>
      </c>
      <c r="D8" s="12">
        <f>SUM(D4:D7)</f>
        <v>25926000</v>
      </c>
      <c r="E8" s="12">
        <f>SUM(E4:E7)</f>
        <v>30468400</v>
      </c>
      <c r="F8" s="12">
        <f>SUM(F4:F7)</f>
        <v>92747750</v>
      </c>
    </row>
  </sheetData>
  <mergeCells count="3">
    <mergeCell ref="C2:E2"/>
    <mergeCell ref="F2:F3"/>
    <mergeCell ref="B2:B3"/>
  </mergeCells>
  <phoneticPr fontId="3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H80"/>
  <sheetViews>
    <sheetView workbookViewId="0">
      <selection activeCell="B2" sqref="B2:H2"/>
    </sheetView>
  </sheetViews>
  <sheetFormatPr defaultRowHeight="16.5" x14ac:dyDescent="0.3"/>
  <cols>
    <col min="1" max="1" width="3.625" customWidth="1"/>
    <col min="3" max="3" width="8" bestFit="1" customWidth="1"/>
    <col min="4" max="4" width="21.5" bestFit="1" customWidth="1"/>
    <col min="5" max="5" width="6.5" customWidth="1"/>
    <col min="6" max="6" width="7.5" bestFit="1" customWidth="1"/>
    <col min="7" max="7" width="10.5" bestFit="1" customWidth="1"/>
  </cols>
  <sheetData>
    <row r="2" spans="2:8" ht="26.25" x14ac:dyDescent="0.3">
      <c r="B2" s="14" t="s">
        <v>0</v>
      </c>
      <c r="C2" s="14"/>
      <c r="D2" s="14"/>
      <c r="E2" s="14"/>
      <c r="F2" s="14"/>
      <c r="G2" s="14"/>
      <c r="H2" s="14"/>
    </row>
    <row r="4" spans="2:8" x14ac:dyDescent="0.3">
      <c r="B4" s="1" t="s">
        <v>1</v>
      </c>
      <c r="C4" s="1" t="s">
        <v>2</v>
      </c>
      <c r="D4" s="2" t="s">
        <v>3</v>
      </c>
      <c r="E4" s="2" t="s">
        <v>4</v>
      </c>
      <c r="F4" s="2" t="s">
        <v>5</v>
      </c>
      <c r="G4" s="2" t="s">
        <v>6</v>
      </c>
      <c r="H4" s="2" t="s">
        <v>7</v>
      </c>
    </row>
    <row r="5" spans="2:8" x14ac:dyDescent="0.3">
      <c r="B5" s="3" t="s">
        <v>8</v>
      </c>
      <c r="C5" s="4">
        <v>41277</v>
      </c>
      <c r="D5" s="5" t="s">
        <v>9</v>
      </c>
      <c r="E5" s="5">
        <v>34</v>
      </c>
      <c r="F5" s="6">
        <v>12750</v>
      </c>
      <c r="G5" s="6">
        <f t="shared" ref="G5:G68" si="0">E5*F5</f>
        <v>433500</v>
      </c>
      <c r="H5" s="3" t="s">
        <v>10</v>
      </c>
    </row>
    <row r="6" spans="2:8" x14ac:dyDescent="0.3">
      <c r="B6" s="3" t="s">
        <v>11</v>
      </c>
      <c r="C6" s="4">
        <v>41294</v>
      </c>
      <c r="D6" s="5" t="s">
        <v>12</v>
      </c>
      <c r="E6" s="5">
        <v>50</v>
      </c>
      <c r="F6" s="6">
        <v>2990</v>
      </c>
      <c r="G6" s="6">
        <f t="shared" si="0"/>
        <v>149500</v>
      </c>
      <c r="H6" s="3" t="s">
        <v>10</v>
      </c>
    </row>
    <row r="7" spans="2:8" x14ac:dyDescent="0.3">
      <c r="B7" s="3" t="s">
        <v>13</v>
      </c>
      <c r="C7" s="4">
        <v>41294</v>
      </c>
      <c r="D7" s="5" t="s">
        <v>9</v>
      </c>
      <c r="E7" s="5">
        <v>10</v>
      </c>
      <c r="F7" s="6">
        <v>12750</v>
      </c>
      <c r="G7" s="6">
        <f t="shared" si="0"/>
        <v>127500</v>
      </c>
      <c r="H7" s="3" t="s">
        <v>14</v>
      </c>
    </row>
    <row r="8" spans="2:8" x14ac:dyDescent="0.3">
      <c r="B8" s="3" t="s">
        <v>15</v>
      </c>
      <c r="C8" s="4">
        <v>41299</v>
      </c>
      <c r="D8" s="5" t="s">
        <v>16</v>
      </c>
      <c r="E8" s="5">
        <v>20</v>
      </c>
      <c r="F8" s="6">
        <v>9200</v>
      </c>
      <c r="G8" s="6">
        <f t="shared" si="0"/>
        <v>184000</v>
      </c>
      <c r="H8" s="3" t="s">
        <v>10</v>
      </c>
    </row>
    <row r="9" spans="2:8" x14ac:dyDescent="0.3">
      <c r="B9" s="3" t="s">
        <v>17</v>
      </c>
      <c r="C9" s="4">
        <v>41300</v>
      </c>
      <c r="D9" s="5" t="s">
        <v>16</v>
      </c>
      <c r="E9" s="5">
        <v>30</v>
      </c>
      <c r="F9" s="6">
        <v>9200</v>
      </c>
      <c r="G9" s="6">
        <f t="shared" si="0"/>
        <v>276000</v>
      </c>
      <c r="H9" s="3" t="s">
        <v>14</v>
      </c>
    </row>
    <row r="10" spans="2:8" x14ac:dyDescent="0.3">
      <c r="B10" s="3" t="s">
        <v>18</v>
      </c>
      <c r="C10" s="4">
        <v>41301</v>
      </c>
      <c r="D10" s="5" t="s">
        <v>19</v>
      </c>
      <c r="E10" s="5">
        <v>40</v>
      </c>
      <c r="F10" s="6">
        <v>81000</v>
      </c>
      <c r="G10" s="6">
        <f t="shared" si="0"/>
        <v>3240000</v>
      </c>
      <c r="H10" s="3" t="s">
        <v>10</v>
      </c>
    </row>
    <row r="11" spans="2:8" x14ac:dyDescent="0.3">
      <c r="B11" s="3" t="s">
        <v>20</v>
      </c>
      <c r="C11" s="4">
        <v>41316</v>
      </c>
      <c r="D11" s="5" t="s">
        <v>21</v>
      </c>
      <c r="E11" s="5">
        <v>87</v>
      </c>
      <c r="F11" s="6">
        <v>14000</v>
      </c>
      <c r="G11" s="6">
        <f t="shared" si="0"/>
        <v>1218000</v>
      </c>
      <c r="H11" s="3" t="s">
        <v>14</v>
      </c>
    </row>
    <row r="12" spans="2:8" x14ac:dyDescent="0.3">
      <c r="B12" s="3" t="s">
        <v>22</v>
      </c>
      <c r="C12" s="4">
        <v>41317</v>
      </c>
      <c r="D12" s="5" t="s">
        <v>23</v>
      </c>
      <c r="E12" s="5">
        <v>40</v>
      </c>
      <c r="F12" s="6">
        <v>34800</v>
      </c>
      <c r="G12" s="6">
        <f t="shared" si="0"/>
        <v>1392000</v>
      </c>
      <c r="H12" s="3" t="s">
        <v>10</v>
      </c>
    </row>
    <row r="13" spans="2:8" x14ac:dyDescent="0.3">
      <c r="B13" s="3" t="s">
        <v>24</v>
      </c>
      <c r="C13" s="4">
        <v>41318</v>
      </c>
      <c r="D13" s="5" t="s">
        <v>21</v>
      </c>
      <c r="E13" s="5">
        <v>100</v>
      </c>
      <c r="F13" s="6">
        <v>14000</v>
      </c>
      <c r="G13" s="6">
        <f t="shared" si="0"/>
        <v>1400000</v>
      </c>
      <c r="H13" s="3" t="s">
        <v>25</v>
      </c>
    </row>
    <row r="14" spans="2:8" x14ac:dyDescent="0.3">
      <c r="B14" s="3" t="s">
        <v>26</v>
      </c>
      <c r="C14" s="4">
        <v>41318</v>
      </c>
      <c r="D14" s="5" t="s">
        <v>27</v>
      </c>
      <c r="E14" s="5">
        <v>100</v>
      </c>
      <c r="F14" s="6">
        <v>19500</v>
      </c>
      <c r="G14" s="6">
        <f t="shared" si="0"/>
        <v>1950000</v>
      </c>
      <c r="H14" s="3" t="s">
        <v>14</v>
      </c>
    </row>
    <row r="15" spans="2:8" x14ac:dyDescent="0.3">
      <c r="B15" s="3" t="s">
        <v>28</v>
      </c>
      <c r="C15" s="4">
        <v>41325</v>
      </c>
      <c r="D15" s="5" t="s">
        <v>29</v>
      </c>
      <c r="E15" s="5">
        <v>30</v>
      </c>
      <c r="F15" s="6">
        <v>3500</v>
      </c>
      <c r="G15" s="6">
        <f t="shared" si="0"/>
        <v>105000</v>
      </c>
      <c r="H15" s="3" t="s">
        <v>25</v>
      </c>
    </row>
    <row r="16" spans="2:8" x14ac:dyDescent="0.3">
      <c r="B16" s="3" t="s">
        <v>30</v>
      </c>
      <c r="C16" s="4">
        <v>41328</v>
      </c>
      <c r="D16" s="5" t="s">
        <v>31</v>
      </c>
      <c r="E16" s="5">
        <v>25</v>
      </c>
      <c r="F16" s="6">
        <v>18000</v>
      </c>
      <c r="G16" s="6">
        <f t="shared" si="0"/>
        <v>450000</v>
      </c>
      <c r="H16" s="3" t="s">
        <v>25</v>
      </c>
    </row>
    <row r="17" spans="2:8" x14ac:dyDescent="0.3">
      <c r="B17" s="3" t="s">
        <v>32</v>
      </c>
      <c r="C17" s="4">
        <v>41332</v>
      </c>
      <c r="D17" s="5" t="s">
        <v>33</v>
      </c>
      <c r="E17" s="5">
        <v>40</v>
      </c>
      <c r="F17" s="6">
        <v>18400</v>
      </c>
      <c r="G17" s="6">
        <f t="shared" si="0"/>
        <v>736000</v>
      </c>
      <c r="H17" s="3" t="s">
        <v>10</v>
      </c>
    </row>
    <row r="18" spans="2:8" x14ac:dyDescent="0.3">
      <c r="B18" s="3" t="s">
        <v>34</v>
      </c>
      <c r="C18" s="4">
        <v>41340</v>
      </c>
      <c r="D18" s="5" t="s">
        <v>35</v>
      </c>
      <c r="E18" s="5">
        <v>17</v>
      </c>
      <c r="F18" s="6">
        <v>40000</v>
      </c>
      <c r="G18" s="6">
        <f t="shared" si="0"/>
        <v>680000</v>
      </c>
      <c r="H18" s="3" t="s">
        <v>10</v>
      </c>
    </row>
    <row r="19" spans="2:8" x14ac:dyDescent="0.3">
      <c r="B19" s="3" t="s">
        <v>36</v>
      </c>
      <c r="C19" s="4">
        <v>41340</v>
      </c>
      <c r="D19" s="5" t="s">
        <v>35</v>
      </c>
      <c r="E19" s="5">
        <v>20</v>
      </c>
      <c r="F19" s="6">
        <v>40000</v>
      </c>
      <c r="G19" s="6">
        <f t="shared" si="0"/>
        <v>800000</v>
      </c>
      <c r="H19" s="3" t="s">
        <v>14</v>
      </c>
    </row>
    <row r="20" spans="2:8" x14ac:dyDescent="0.3">
      <c r="B20" s="3" t="s">
        <v>37</v>
      </c>
      <c r="C20" s="4">
        <v>41344</v>
      </c>
      <c r="D20" s="5" t="s">
        <v>38</v>
      </c>
      <c r="E20" s="5">
        <v>10</v>
      </c>
      <c r="F20" s="6">
        <v>38000</v>
      </c>
      <c r="G20" s="6">
        <f t="shared" si="0"/>
        <v>380000</v>
      </c>
      <c r="H20" s="3" t="s">
        <v>10</v>
      </c>
    </row>
    <row r="21" spans="2:8" x14ac:dyDescent="0.3">
      <c r="B21" s="3" t="s">
        <v>39</v>
      </c>
      <c r="C21" s="4">
        <v>41350</v>
      </c>
      <c r="D21" s="5" t="s">
        <v>40</v>
      </c>
      <c r="E21" s="5">
        <v>62</v>
      </c>
      <c r="F21" s="6">
        <v>46000</v>
      </c>
      <c r="G21" s="6">
        <f t="shared" si="0"/>
        <v>2852000</v>
      </c>
      <c r="H21" s="3" t="s">
        <v>10</v>
      </c>
    </row>
    <row r="22" spans="2:8" x14ac:dyDescent="0.3">
      <c r="B22" s="3" t="s">
        <v>41</v>
      </c>
      <c r="C22" s="4">
        <v>41352</v>
      </c>
      <c r="D22" s="5" t="s">
        <v>21</v>
      </c>
      <c r="E22" s="5">
        <v>300</v>
      </c>
      <c r="F22" s="6">
        <v>14000</v>
      </c>
      <c r="G22" s="6">
        <f t="shared" si="0"/>
        <v>4200000</v>
      </c>
      <c r="H22" s="3" t="s">
        <v>25</v>
      </c>
    </row>
    <row r="23" spans="2:8" x14ac:dyDescent="0.3">
      <c r="B23" s="3" t="s">
        <v>42</v>
      </c>
      <c r="C23" s="4">
        <v>41353</v>
      </c>
      <c r="D23" s="5" t="s">
        <v>43</v>
      </c>
      <c r="E23" s="5">
        <v>20</v>
      </c>
      <c r="F23" s="6">
        <v>10000</v>
      </c>
      <c r="G23" s="6">
        <f t="shared" si="0"/>
        <v>200000</v>
      </c>
      <c r="H23" s="3" t="s">
        <v>14</v>
      </c>
    </row>
    <row r="24" spans="2:8" x14ac:dyDescent="0.3">
      <c r="B24" s="3" t="s">
        <v>44</v>
      </c>
      <c r="C24" s="4">
        <v>41354</v>
      </c>
      <c r="D24" s="5" t="s">
        <v>9</v>
      </c>
      <c r="E24" s="5">
        <v>40</v>
      </c>
      <c r="F24" s="6">
        <v>12750</v>
      </c>
      <c r="G24" s="6">
        <f t="shared" si="0"/>
        <v>510000</v>
      </c>
      <c r="H24" s="3" t="s">
        <v>25</v>
      </c>
    </row>
    <row r="25" spans="2:8" x14ac:dyDescent="0.3">
      <c r="B25" s="3" t="s">
        <v>45</v>
      </c>
      <c r="C25" s="4">
        <v>41355</v>
      </c>
      <c r="D25" s="5" t="s">
        <v>46</v>
      </c>
      <c r="E25" s="5">
        <v>50</v>
      </c>
      <c r="F25" s="6">
        <v>9650</v>
      </c>
      <c r="G25" s="6">
        <f t="shared" si="0"/>
        <v>482500</v>
      </c>
      <c r="H25" s="3" t="s">
        <v>10</v>
      </c>
    </row>
    <row r="26" spans="2:8" x14ac:dyDescent="0.3">
      <c r="B26" s="3" t="s">
        <v>47</v>
      </c>
      <c r="C26" s="4">
        <v>41355</v>
      </c>
      <c r="D26" s="5" t="s">
        <v>48</v>
      </c>
      <c r="E26" s="5">
        <v>30</v>
      </c>
      <c r="F26" s="6">
        <v>22000</v>
      </c>
      <c r="G26" s="6">
        <f t="shared" si="0"/>
        <v>660000</v>
      </c>
      <c r="H26" s="3" t="s">
        <v>10</v>
      </c>
    </row>
    <row r="27" spans="2:8" x14ac:dyDescent="0.3">
      <c r="B27" s="3" t="s">
        <v>49</v>
      </c>
      <c r="C27" s="4">
        <v>41356</v>
      </c>
      <c r="D27" s="5" t="s">
        <v>12</v>
      </c>
      <c r="E27" s="5">
        <v>15</v>
      </c>
      <c r="F27" s="6">
        <v>2990</v>
      </c>
      <c r="G27" s="6">
        <f t="shared" si="0"/>
        <v>44850</v>
      </c>
      <c r="H27" s="3" t="s">
        <v>14</v>
      </c>
    </row>
    <row r="28" spans="2:8" x14ac:dyDescent="0.3">
      <c r="B28" s="3" t="s">
        <v>50</v>
      </c>
      <c r="C28" s="4">
        <v>41358</v>
      </c>
      <c r="D28" s="5" t="s">
        <v>12</v>
      </c>
      <c r="E28" s="5">
        <v>200</v>
      </c>
      <c r="F28" s="6">
        <v>2990</v>
      </c>
      <c r="G28" s="6">
        <f t="shared" si="0"/>
        <v>598000</v>
      </c>
      <c r="H28" s="3" t="s">
        <v>25</v>
      </c>
    </row>
    <row r="29" spans="2:8" x14ac:dyDescent="0.3">
      <c r="B29" s="3" t="s">
        <v>51</v>
      </c>
      <c r="C29" s="4">
        <v>41359</v>
      </c>
      <c r="D29" s="5" t="s">
        <v>52</v>
      </c>
      <c r="E29" s="5">
        <v>50</v>
      </c>
      <c r="F29" s="6">
        <v>10000</v>
      </c>
      <c r="G29" s="6">
        <f t="shared" si="0"/>
        <v>500000</v>
      </c>
      <c r="H29" s="3" t="s">
        <v>25</v>
      </c>
    </row>
    <row r="30" spans="2:8" x14ac:dyDescent="0.3">
      <c r="B30" s="3" t="s">
        <v>53</v>
      </c>
      <c r="C30" s="4">
        <v>41360</v>
      </c>
      <c r="D30" s="5" t="s">
        <v>54</v>
      </c>
      <c r="E30" s="5">
        <v>25</v>
      </c>
      <c r="F30" s="6">
        <v>21350</v>
      </c>
      <c r="G30" s="6">
        <f t="shared" si="0"/>
        <v>533750</v>
      </c>
      <c r="H30" s="3" t="s">
        <v>14</v>
      </c>
    </row>
    <row r="31" spans="2:8" x14ac:dyDescent="0.3">
      <c r="B31" s="3" t="s">
        <v>55</v>
      </c>
      <c r="C31" s="4">
        <v>41369</v>
      </c>
      <c r="D31" s="5" t="s">
        <v>35</v>
      </c>
      <c r="E31" s="5">
        <v>57</v>
      </c>
      <c r="F31" s="6">
        <v>40000</v>
      </c>
      <c r="G31" s="6">
        <f t="shared" si="0"/>
        <v>2280000</v>
      </c>
      <c r="H31" s="3" t="s">
        <v>10</v>
      </c>
    </row>
    <row r="32" spans="2:8" x14ac:dyDescent="0.3">
      <c r="B32" s="3" t="s">
        <v>56</v>
      </c>
      <c r="C32" s="4">
        <v>41375</v>
      </c>
      <c r="D32" s="5" t="s">
        <v>57</v>
      </c>
      <c r="E32" s="5">
        <v>90</v>
      </c>
      <c r="F32" s="6">
        <v>25000</v>
      </c>
      <c r="G32" s="6">
        <f t="shared" si="0"/>
        <v>2250000</v>
      </c>
      <c r="H32" s="3" t="s">
        <v>14</v>
      </c>
    </row>
    <row r="33" spans="2:8" x14ac:dyDescent="0.3">
      <c r="B33" s="3" t="s">
        <v>58</v>
      </c>
      <c r="C33" s="4">
        <v>41382</v>
      </c>
      <c r="D33" s="5" t="s">
        <v>9</v>
      </c>
      <c r="E33" s="5">
        <v>90</v>
      </c>
      <c r="F33" s="6">
        <v>12750</v>
      </c>
      <c r="G33" s="6">
        <f t="shared" si="0"/>
        <v>1147500</v>
      </c>
      <c r="H33" s="3" t="s">
        <v>14</v>
      </c>
    </row>
    <row r="34" spans="2:8" x14ac:dyDescent="0.3">
      <c r="B34" s="3" t="s">
        <v>59</v>
      </c>
      <c r="C34" s="4">
        <v>41390</v>
      </c>
      <c r="D34" s="5" t="s">
        <v>31</v>
      </c>
      <c r="E34" s="5">
        <v>15</v>
      </c>
      <c r="F34" s="6">
        <v>18000</v>
      </c>
      <c r="G34" s="6">
        <f t="shared" si="0"/>
        <v>270000</v>
      </c>
      <c r="H34" s="3" t="s">
        <v>14</v>
      </c>
    </row>
    <row r="35" spans="2:8" x14ac:dyDescent="0.3">
      <c r="B35" s="3" t="s">
        <v>60</v>
      </c>
      <c r="C35" s="4">
        <v>41393</v>
      </c>
      <c r="D35" s="5" t="s">
        <v>40</v>
      </c>
      <c r="E35" s="5">
        <v>300</v>
      </c>
      <c r="F35" s="6">
        <v>46000</v>
      </c>
      <c r="G35" s="6">
        <f t="shared" si="0"/>
        <v>13800000</v>
      </c>
      <c r="H35" s="3" t="s">
        <v>14</v>
      </c>
    </row>
    <row r="36" spans="2:8" x14ac:dyDescent="0.3">
      <c r="B36" s="3" t="s">
        <v>61</v>
      </c>
      <c r="C36" s="4">
        <v>41394</v>
      </c>
      <c r="D36" s="5" t="s">
        <v>29</v>
      </c>
      <c r="E36" s="5">
        <v>10</v>
      </c>
      <c r="F36" s="6">
        <v>3500</v>
      </c>
      <c r="G36" s="6">
        <f t="shared" si="0"/>
        <v>35000</v>
      </c>
      <c r="H36" s="3" t="s">
        <v>10</v>
      </c>
    </row>
    <row r="37" spans="2:8" x14ac:dyDescent="0.3">
      <c r="B37" s="3" t="s">
        <v>62</v>
      </c>
      <c r="C37" s="4">
        <v>41405</v>
      </c>
      <c r="D37" s="5" t="s">
        <v>40</v>
      </c>
      <c r="E37" s="5">
        <v>5</v>
      </c>
      <c r="F37" s="6">
        <v>46000</v>
      </c>
      <c r="G37" s="6">
        <f t="shared" si="0"/>
        <v>230000</v>
      </c>
      <c r="H37" s="3" t="s">
        <v>14</v>
      </c>
    </row>
    <row r="38" spans="2:8" x14ac:dyDescent="0.3">
      <c r="B38" s="3" t="s">
        <v>63</v>
      </c>
      <c r="C38" s="4">
        <v>41412</v>
      </c>
      <c r="D38" s="5" t="s">
        <v>29</v>
      </c>
      <c r="E38" s="5">
        <v>16</v>
      </c>
      <c r="F38" s="6">
        <v>3500</v>
      </c>
      <c r="G38" s="6">
        <f t="shared" si="0"/>
        <v>56000</v>
      </c>
      <c r="H38" s="3" t="s">
        <v>14</v>
      </c>
    </row>
    <row r="39" spans="2:8" x14ac:dyDescent="0.3">
      <c r="B39" s="3" t="s">
        <v>64</v>
      </c>
      <c r="C39" s="4">
        <v>41414</v>
      </c>
      <c r="D39" s="5" t="s">
        <v>29</v>
      </c>
      <c r="E39" s="5">
        <v>20</v>
      </c>
      <c r="F39" s="6">
        <v>3500</v>
      </c>
      <c r="G39" s="6">
        <f t="shared" si="0"/>
        <v>70000</v>
      </c>
      <c r="H39" s="3" t="s">
        <v>25</v>
      </c>
    </row>
    <row r="40" spans="2:8" x14ac:dyDescent="0.3">
      <c r="B40" s="3" t="s">
        <v>65</v>
      </c>
      <c r="C40" s="4">
        <v>41427</v>
      </c>
      <c r="D40" s="5" t="s">
        <v>9</v>
      </c>
      <c r="E40" s="5">
        <v>40</v>
      </c>
      <c r="F40" s="6">
        <v>12750</v>
      </c>
      <c r="G40" s="6">
        <f t="shared" si="0"/>
        <v>510000</v>
      </c>
      <c r="H40" s="3" t="s">
        <v>14</v>
      </c>
    </row>
    <row r="41" spans="2:8" x14ac:dyDescent="0.3">
      <c r="B41" s="3" t="s">
        <v>66</v>
      </c>
      <c r="C41" s="4">
        <v>41433</v>
      </c>
      <c r="D41" s="5" t="s">
        <v>67</v>
      </c>
      <c r="E41" s="5">
        <v>10</v>
      </c>
      <c r="F41" s="6">
        <v>30000</v>
      </c>
      <c r="G41" s="6">
        <f t="shared" si="0"/>
        <v>300000</v>
      </c>
      <c r="H41" s="3" t="s">
        <v>10</v>
      </c>
    </row>
    <row r="42" spans="2:8" x14ac:dyDescent="0.3">
      <c r="B42" s="3" t="s">
        <v>68</v>
      </c>
      <c r="C42" s="4">
        <v>41435</v>
      </c>
      <c r="D42" s="5" t="s">
        <v>16</v>
      </c>
      <c r="E42" s="5">
        <v>10</v>
      </c>
      <c r="F42" s="6">
        <v>9200</v>
      </c>
      <c r="G42" s="6">
        <f t="shared" si="0"/>
        <v>92000</v>
      </c>
      <c r="H42" s="3" t="s">
        <v>14</v>
      </c>
    </row>
    <row r="43" spans="2:8" x14ac:dyDescent="0.3">
      <c r="B43" s="3" t="s">
        <v>69</v>
      </c>
      <c r="C43" s="4">
        <v>41435</v>
      </c>
      <c r="D43" s="5" t="s">
        <v>12</v>
      </c>
      <c r="E43" s="5">
        <v>25</v>
      </c>
      <c r="F43" s="6">
        <v>2990</v>
      </c>
      <c r="G43" s="6">
        <f t="shared" si="0"/>
        <v>74750</v>
      </c>
      <c r="H43" s="3" t="s">
        <v>14</v>
      </c>
    </row>
    <row r="44" spans="2:8" x14ac:dyDescent="0.3">
      <c r="B44" s="3" t="s">
        <v>70</v>
      </c>
      <c r="C44" s="4">
        <v>41436</v>
      </c>
      <c r="D44" s="5" t="s">
        <v>71</v>
      </c>
      <c r="E44" s="5">
        <v>55</v>
      </c>
      <c r="F44" s="6">
        <v>53000</v>
      </c>
      <c r="G44" s="6">
        <f t="shared" si="0"/>
        <v>2915000</v>
      </c>
      <c r="H44" s="3" t="s">
        <v>14</v>
      </c>
    </row>
    <row r="45" spans="2:8" x14ac:dyDescent="0.3">
      <c r="B45" s="3" t="s">
        <v>72</v>
      </c>
      <c r="C45" s="4">
        <v>41438</v>
      </c>
      <c r="D45" s="5" t="s">
        <v>73</v>
      </c>
      <c r="E45" s="5">
        <v>40</v>
      </c>
      <c r="F45" s="6">
        <v>7000</v>
      </c>
      <c r="G45" s="6">
        <f t="shared" si="0"/>
        <v>280000</v>
      </c>
      <c r="H45" s="3" t="s">
        <v>14</v>
      </c>
    </row>
    <row r="46" spans="2:8" x14ac:dyDescent="0.3">
      <c r="B46" s="3" t="s">
        <v>74</v>
      </c>
      <c r="C46" s="4">
        <v>41444</v>
      </c>
      <c r="D46" s="5" t="s">
        <v>71</v>
      </c>
      <c r="E46" s="5">
        <v>10</v>
      </c>
      <c r="F46" s="6">
        <v>53000</v>
      </c>
      <c r="G46" s="6">
        <f t="shared" si="0"/>
        <v>530000</v>
      </c>
      <c r="H46" s="3" t="s">
        <v>10</v>
      </c>
    </row>
    <row r="47" spans="2:8" x14ac:dyDescent="0.3">
      <c r="B47" s="3" t="s">
        <v>75</v>
      </c>
      <c r="C47" s="4">
        <v>41445</v>
      </c>
      <c r="D47" s="5" t="s">
        <v>57</v>
      </c>
      <c r="E47" s="5">
        <v>10</v>
      </c>
      <c r="F47" s="6">
        <v>25000</v>
      </c>
      <c r="G47" s="6">
        <f t="shared" si="0"/>
        <v>250000</v>
      </c>
      <c r="H47" s="3" t="s">
        <v>25</v>
      </c>
    </row>
    <row r="48" spans="2:8" x14ac:dyDescent="0.3">
      <c r="B48" s="3" t="s">
        <v>76</v>
      </c>
      <c r="C48" s="4">
        <v>41455</v>
      </c>
      <c r="D48" s="5" t="s">
        <v>67</v>
      </c>
      <c r="E48" s="5">
        <v>30</v>
      </c>
      <c r="F48" s="6">
        <v>30000</v>
      </c>
      <c r="G48" s="6">
        <f t="shared" si="0"/>
        <v>900000</v>
      </c>
      <c r="H48" s="3" t="s">
        <v>25</v>
      </c>
    </row>
    <row r="49" spans="2:8" x14ac:dyDescent="0.3">
      <c r="B49" s="3" t="s">
        <v>77</v>
      </c>
      <c r="C49" s="4">
        <v>41463</v>
      </c>
      <c r="D49" s="5" t="s">
        <v>16</v>
      </c>
      <c r="E49" s="5">
        <v>35</v>
      </c>
      <c r="F49" s="6">
        <v>9200</v>
      </c>
      <c r="G49" s="6">
        <f t="shared" si="0"/>
        <v>322000</v>
      </c>
      <c r="H49" s="3" t="s">
        <v>14</v>
      </c>
    </row>
    <row r="50" spans="2:8" x14ac:dyDescent="0.3">
      <c r="B50" s="3" t="s">
        <v>78</v>
      </c>
      <c r="C50" s="4">
        <v>41483</v>
      </c>
      <c r="D50" s="5" t="s">
        <v>46</v>
      </c>
      <c r="E50" s="5">
        <v>10</v>
      </c>
      <c r="F50" s="6">
        <v>9650</v>
      </c>
      <c r="G50" s="6">
        <f t="shared" si="0"/>
        <v>96500</v>
      </c>
      <c r="H50" s="3" t="s">
        <v>14</v>
      </c>
    </row>
    <row r="51" spans="2:8" x14ac:dyDescent="0.3">
      <c r="B51" s="3" t="s">
        <v>79</v>
      </c>
      <c r="C51" s="4">
        <v>41486</v>
      </c>
      <c r="D51" s="5" t="s">
        <v>33</v>
      </c>
      <c r="E51" s="5">
        <v>50</v>
      </c>
      <c r="F51" s="6">
        <v>18400</v>
      </c>
      <c r="G51" s="6">
        <f t="shared" si="0"/>
        <v>920000</v>
      </c>
      <c r="H51" s="3" t="s">
        <v>14</v>
      </c>
    </row>
    <row r="52" spans="2:8" x14ac:dyDescent="0.3">
      <c r="B52" s="3" t="s">
        <v>80</v>
      </c>
      <c r="C52" s="4">
        <v>41488</v>
      </c>
      <c r="D52" s="5" t="s">
        <v>33</v>
      </c>
      <c r="E52" s="5">
        <v>30</v>
      </c>
      <c r="F52" s="6">
        <v>18400</v>
      </c>
      <c r="G52" s="6">
        <f t="shared" si="0"/>
        <v>552000</v>
      </c>
      <c r="H52" s="3" t="s">
        <v>10</v>
      </c>
    </row>
    <row r="53" spans="2:8" x14ac:dyDescent="0.3">
      <c r="B53" s="3" t="s">
        <v>81</v>
      </c>
      <c r="C53" s="4">
        <v>41492</v>
      </c>
      <c r="D53" s="5" t="s">
        <v>40</v>
      </c>
      <c r="E53" s="5">
        <v>90</v>
      </c>
      <c r="F53" s="6">
        <v>46000</v>
      </c>
      <c r="G53" s="6">
        <f t="shared" si="0"/>
        <v>4140000</v>
      </c>
      <c r="H53" s="3" t="s">
        <v>14</v>
      </c>
    </row>
    <row r="54" spans="2:8" x14ac:dyDescent="0.3">
      <c r="B54" s="3" t="s">
        <v>82</v>
      </c>
      <c r="C54" s="4">
        <v>41497</v>
      </c>
      <c r="D54" s="5" t="s">
        <v>48</v>
      </c>
      <c r="E54" s="5">
        <v>10</v>
      </c>
      <c r="F54" s="6">
        <v>22000</v>
      </c>
      <c r="G54" s="6">
        <f t="shared" si="0"/>
        <v>220000</v>
      </c>
      <c r="H54" s="3" t="s">
        <v>14</v>
      </c>
    </row>
    <row r="55" spans="2:8" x14ac:dyDescent="0.3">
      <c r="B55" s="3" t="s">
        <v>83</v>
      </c>
      <c r="C55" s="4">
        <v>41499</v>
      </c>
      <c r="D55" s="5" t="s">
        <v>9</v>
      </c>
      <c r="E55" s="5">
        <v>10</v>
      </c>
      <c r="F55" s="6">
        <v>12750</v>
      </c>
      <c r="G55" s="6">
        <f t="shared" si="0"/>
        <v>127500</v>
      </c>
      <c r="H55" s="3" t="s">
        <v>10</v>
      </c>
    </row>
    <row r="56" spans="2:8" x14ac:dyDescent="0.3">
      <c r="B56" s="3" t="s">
        <v>84</v>
      </c>
      <c r="C56" s="4">
        <v>41503</v>
      </c>
      <c r="D56" s="5" t="s">
        <v>38</v>
      </c>
      <c r="E56" s="5">
        <v>5</v>
      </c>
      <c r="F56" s="6">
        <v>38000</v>
      </c>
      <c r="G56" s="6">
        <f t="shared" si="0"/>
        <v>190000</v>
      </c>
      <c r="H56" s="3" t="s">
        <v>25</v>
      </c>
    </row>
    <row r="57" spans="2:8" x14ac:dyDescent="0.3">
      <c r="B57" s="3" t="s">
        <v>85</v>
      </c>
      <c r="C57" s="4">
        <v>41506</v>
      </c>
      <c r="D57" s="5" t="s">
        <v>86</v>
      </c>
      <c r="E57" s="5">
        <v>20</v>
      </c>
      <c r="F57" s="6">
        <v>10000</v>
      </c>
      <c r="G57" s="6">
        <f t="shared" si="0"/>
        <v>200000</v>
      </c>
      <c r="H57" s="3" t="s">
        <v>10</v>
      </c>
    </row>
    <row r="58" spans="2:8" x14ac:dyDescent="0.3">
      <c r="B58" s="3" t="s">
        <v>87</v>
      </c>
      <c r="C58" s="4">
        <v>41520</v>
      </c>
      <c r="D58" s="5" t="s">
        <v>16</v>
      </c>
      <c r="E58" s="5">
        <v>25</v>
      </c>
      <c r="F58" s="6">
        <v>9200</v>
      </c>
      <c r="G58" s="6">
        <f t="shared" si="0"/>
        <v>230000</v>
      </c>
      <c r="H58" s="3" t="s">
        <v>25</v>
      </c>
    </row>
    <row r="59" spans="2:8" x14ac:dyDescent="0.3">
      <c r="B59" s="3" t="s">
        <v>88</v>
      </c>
      <c r="C59" s="4">
        <v>41521</v>
      </c>
      <c r="D59" s="5" t="s">
        <v>46</v>
      </c>
      <c r="E59" s="5">
        <v>30</v>
      </c>
      <c r="F59" s="6">
        <v>9650</v>
      </c>
      <c r="G59" s="6">
        <f t="shared" si="0"/>
        <v>289500</v>
      </c>
      <c r="H59" s="3" t="s">
        <v>10</v>
      </c>
    </row>
    <row r="60" spans="2:8" x14ac:dyDescent="0.3">
      <c r="B60" s="3" t="s">
        <v>89</v>
      </c>
      <c r="C60" s="4">
        <v>41529</v>
      </c>
      <c r="D60" s="5" t="s">
        <v>46</v>
      </c>
      <c r="E60" s="5">
        <v>200</v>
      </c>
      <c r="F60" s="6">
        <v>9650</v>
      </c>
      <c r="G60" s="6">
        <f t="shared" si="0"/>
        <v>1930000</v>
      </c>
      <c r="H60" s="3" t="s">
        <v>10</v>
      </c>
    </row>
    <row r="61" spans="2:8" x14ac:dyDescent="0.3">
      <c r="B61" s="3" t="s">
        <v>90</v>
      </c>
      <c r="C61" s="4">
        <v>41543</v>
      </c>
      <c r="D61" s="5" t="s">
        <v>67</v>
      </c>
      <c r="E61" s="5">
        <v>72</v>
      </c>
      <c r="F61" s="6">
        <v>30000</v>
      </c>
      <c r="G61" s="6">
        <f t="shared" si="0"/>
        <v>2160000</v>
      </c>
      <c r="H61" s="3" t="s">
        <v>10</v>
      </c>
    </row>
    <row r="62" spans="2:8" x14ac:dyDescent="0.3">
      <c r="B62" s="3" t="s">
        <v>91</v>
      </c>
      <c r="C62" s="4">
        <v>41566</v>
      </c>
      <c r="D62" s="5" t="s">
        <v>35</v>
      </c>
      <c r="E62" s="5">
        <v>25</v>
      </c>
      <c r="F62" s="6">
        <v>40000</v>
      </c>
      <c r="G62" s="6">
        <f t="shared" si="0"/>
        <v>1000000</v>
      </c>
      <c r="H62" s="3" t="s">
        <v>10</v>
      </c>
    </row>
    <row r="63" spans="2:8" x14ac:dyDescent="0.3">
      <c r="B63" s="3" t="s">
        <v>92</v>
      </c>
      <c r="C63" s="4">
        <v>41566</v>
      </c>
      <c r="D63" s="5" t="s">
        <v>48</v>
      </c>
      <c r="E63" s="5">
        <v>80</v>
      </c>
      <c r="F63" s="6">
        <v>22000</v>
      </c>
      <c r="G63" s="6">
        <f t="shared" si="0"/>
        <v>1760000</v>
      </c>
      <c r="H63" s="3" t="s">
        <v>14</v>
      </c>
    </row>
    <row r="64" spans="2:8" x14ac:dyDescent="0.3">
      <c r="B64" s="3" t="s">
        <v>93</v>
      </c>
      <c r="C64" s="4">
        <v>41569</v>
      </c>
      <c r="D64" s="5" t="s">
        <v>40</v>
      </c>
      <c r="E64" s="5">
        <v>74</v>
      </c>
      <c r="F64" s="6">
        <v>46000</v>
      </c>
      <c r="G64" s="6">
        <f t="shared" si="0"/>
        <v>3404000</v>
      </c>
      <c r="H64" s="3" t="s">
        <v>10</v>
      </c>
    </row>
    <row r="65" spans="2:8" x14ac:dyDescent="0.3">
      <c r="B65" s="3" t="s">
        <v>94</v>
      </c>
      <c r="C65" s="4">
        <v>41575</v>
      </c>
      <c r="D65" s="5" t="s">
        <v>9</v>
      </c>
      <c r="E65" s="5">
        <v>100</v>
      </c>
      <c r="F65" s="6">
        <v>12750</v>
      </c>
      <c r="G65" s="6">
        <f t="shared" si="0"/>
        <v>1275000</v>
      </c>
      <c r="H65" s="3" t="s">
        <v>10</v>
      </c>
    </row>
    <row r="66" spans="2:8" x14ac:dyDescent="0.3">
      <c r="B66" s="3" t="s">
        <v>95</v>
      </c>
      <c r="C66" s="4">
        <v>41576</v>
      </c>
      <c r="D66" s="5" t="s">
        <v>40</v>
      </c>
      <c r="E66" s="5">
        <v>25</v>
      </c>
      <c r="F66" s="6">
        <v>46000</v>
      </c>
      <c r="G66" s="6">
        <f t="shared" si="0"/>
        <v>1150000</v>
      </c>
      <c r="H66" s="3" t="s">
        <v>10</v>
      </c>
    </row>
    <row r="67" spans="2:8" x14ac:dyDescent="0.3">
      <c r="B67" s="3" t="s">
        <v>96</v>
      </c>
      <c r="C67" s="4">
        <v>41577</v>
      </c>
      <c r="D67" s="5" t="s">
        <v>46</v>
      </c>
      <c r="E67" s="5">
        <v>58</v>
      </c>
      <c r="F67" s="6">
        <v>9650</v>
      </c>
      <c r="G67" s="6">
        <f t="shared" si="0"/>
        <v>559700</v>
      </c>
      <c r="H67" s="3" t="s">
        <v>10</v>
      </c>
    </row>
    <row r="68" spans="2:8" x14ac:dyDescent="0.3">
      <c r="B68" s="3" t="s">
        <v>97</v>
      </c>
      <c r="C68" s="4">
        <v>41579</v>
      </c>
      <c r="D68" s="5" t="s">
        <v>31</v>
      </c>
      <c r="E68" s="5">
        <v>46</v>
      </c>
      <c r="F68" s="6">
        <v>18000</v>
      </c>
      <c r="G68" s="6">
        <f t="shared" si="0"/>
        <v>828000</v>
      </c>
      <c r="H68" s="3" t="s">
        <v>25</v>
      </c>
    </row>
    <row r="69" spans="2:8" x14ac:dyDescent="0.3">
      <c r="B69" s="3" t="s">
        <v>98</v>
      </c>
      <c r="C69" s="4">
        <v>41584</v>
      </c>
      <c r="D69" s="5" t="s">
        <v>35</v>
      </c>
      <c r="E69" s="5">
        <v>3</v>
      </c>
      <c r="F69" s="6">
        <v>40000</v>
      </c>
      <c r="G69" s="6">
        <f t="shared" ref="G69:G80" si="1">E69*F69</f>
        <v>120000</v>
      </c>
      <c r="H69" s="3" t="s">
        <v>10</v>
      </c>
    </row>
    <row r="70" spans="2:8" x14ac:dyDescent="0.3">
      <c r="B70" s="3" t="s">
        <v>99</v>
      </c>
      <c r="C70" s="4">
        <v>41589</v>
      </c>
      <c r="D70" s="5" t="s">
        <v>23</v>
      </c>
      <c r="E70" s="5">
        <v>50</v>
      </c>
      <c r="F70" s="6">
        <v>34800</v>
      </c>
      <c r="G70" s="6">
        <f t="shared" si="1"/>
        <v>1740000</v>
      </c>
      <c r="H70" s="3" t="s">
        <v>14</v>
      </c>
    </row>
    <row r="71" spans="2:8" x14ac:dyDescent="0.3">
      <c r="B71" s="3" t="s">
        <v>100</v>
      </c>
      <c r="C71" s="4">
        <v>41593</v>
      </c>
      <c r="D71" s="5" t="s">
        <v>40</v>
      </c>
      <c r="E71" s="5">
        <v>300</v>
      </c>
      <c r="F71" s="6">
        <v>46000</v>
      </c>
      <c r="G71" s="6">
        <f t="shared" si="1"/>
        <v>13800000</v>
      </c>
      <c r="H71" s="3" t="s">
        <v>25</v>
      </c>
    </row>
    <row r="72" spans="2:8" x14ac:dyDescent="0.3">
      <c r="B72" s="3" t="s">
        <v>101</v>
      </c>
      <c r="C72" s="4">
        <v>41595</v>
      </c>
      <c r="D72" s="5" t="s">
        <v>16</v>
      </c>
      <c r="E72" s="5">
        <v>12</v>
      </c>
      <c r="F72" s="6">
        <v>9200</v>
      </c>
      <c r="G72" s="6">
        <f t="shared" si="1"/>
        <v>110400</v>
      </c>
      <c r="H72" s="3" t="s">
        <v>14</v>
      </c>
    </row>
    <row r="73" spans="2:8" x14ac:dyDescent="0.3">
      <c r="B73" s="3" t="s">
        <v>102</v>
      </c>
      <c r="C73" s="4">
        <v>41599</v>
      </c>
      <c r="D73" s="5" t="s">
        <v>29</v>
      </c>
      <c r="E73" s="5">
        <v>15</v>
      </c>
      <c r="F73" s="6">
        <v>3500</v>
      </c>
      <c r="G73" s="6">
        <f t="shared" si="1"/>
        <v>52500</v>
      </c>
      <c r="H73" s="3" t="s">
        <v>10</v>
      </c>
    </row>
    <row r="74" spans="2:8" x14ac:dyDescent="0.3">
      <c r="B74" s="3" t="s">
        <v>103</v>
      </c>
      <c r="C74" s="4">
        <v>41599</v>
      </c>
      <c r="D74" s="5" t="s">
        <v>57</v>
      </c>
      <c r="E74" s="5">
        <v>39</v>
      </c>
      <c r="F74" s="6">
        <v>25000</v>
      </c>
      <c r="G74" s="6">
        <f t="shared" si="1"/>
        <v>975000</v>
      </c>
      <c r="H74" s="3" t="s">
        <v>25</v>
      </c>
    </row>
    <row r="75" spans="2:8" x14ac:dyDescent="0.3">
      <c r="B75" s="3" t="s">
        <v>104</v>
      </c>
      <c r="C75" s="4">
        <v>41603</v>
      </c>
      <c r="D75" s="5" t="s">
        <v>105</v>
      </c>
      <c r="E75" s="5">
        <v>40</v>
      </c>
      <c r="F75" s="6">
        <v>39000</v>
      </c>
      <c r="G75" s="6">
        <f t="shared" si="1"/>
        <v>1560000</v>
      </c>
      <c r="H75" s="3" t="s">
        <v>10</v>
      </c>
    </row>
    <row r="76" spans="2:8" x14ac:dyDescent="0.3">
      <c r="B76" s="3" t="s">
        <v>106</v>
      </c>
      <c r="C76" s="4">
        <v>41606</v>
      </c>
      <c r="D76" s="5" t="s">
        <v>71</v>
      </c>
      <c r="E76" s="5">
        <v>30</v>
      </c>
      <c r="F76" s="6">
        <v>53000</v>
      </c>
      <c r="G76" s="6">
        <f t="shared" si="1"/>
        <v>1590000</v>
      </c>
      <c r="H76" s="3" t="s">
        <v>10</v>
      </c>
    </row>
    <row r="77" spans="2:8" x14ac:dyDescent="0.3">
      <c r="B77" s="3" t="s">
        <v>107</v>
      </c>
      <c r="C77" s="4">
        <v>41606</v>
      </c>
      <c r="D77" s="5" t="s">
        <v>12</v>
      </c>
      <c r="E77" s="5">
        <v>90</v>
      </c>
      <c r="F77" s="6">
        <v>2990</v>
      </c>
      <c r="G77" s="6">
        <f t="shared" si="1"/>
        <v>269100</v>
      </c>
      <c r="H77" s="3" t="s">
        <v>14</v>
      </c>
    </row>
    <row r="78" spans="2:8" x14ac:dyDescent="0.3">
      <c r="B78" s="3" t="s">
        <v>108</v>
      </c>
      <c r="C78" s="4">
        <v>41623</v>
      </c>
      <c r="D78" s="5" t="s">
        <v>40</v>
      </c>
      <c r="E78" s="5">
        <v>20</v>
      </c>
      <c r="F78" s="6">
        <v>46000</v>
      </c>
      <c r="G78" s="6">
        <f t="shared" si="1"/>
        <v>920000</v>
      </c>
      <c r="H78" s="3" t="s">
        <v>25</v>
      </c>
    </row>
    <row r="79" spans="2:8" x14ac:dyDescent="0.3">
      <c r="B79" s="3" t="s">
        <v>109</v>
      </c>
      <c r="C79" s="4">
        <v>41628</v>
      </c>
      <c r="D79" s="5" t="s">
        <v>29</v>
      </c>
      <c r="E79" s="5">
        <v>31</v>
      </c>
      <c r="F79" s="6">
        <v>3500</v>
      </c>
      <c r="G79" s="6">
        <f t="shared" si="1"/>
        <v>108500</v>
      </c>
      <c r="H79" s="3" t="s">
        <v>10</v>
      </c>
    </row>
    <row r="80" spans="2:8" x14ac:dyDescent="0.3">
      <c r="B80" s="3" t="s">
        <v>110</v>
      </c>
      <c r="C80" s="4">
        <v>41635</v>
      </c>
      <c r="D80" s="5" t="s">
        <v>16</v>
      </c>
      <c r="E80" s="5">
        <v>6</v>
      </c>
      <c r="F80" s="6">
        <v>9200</v>
      </c>
      <c r="G80" s="6">
        <f t="shared" si="1"/>
        <v>55200</v>
      </c>
      <c r="H80" s="3" t="s">
        <v>10</v>
      </c>
    </row>
  </sheetData>
  <mergeCells count="1">
    <mergeCell ref="B2:H2"/>
  </mergeCells>
  <phoneticPr fontId="3" type="noConversion"/>
  <pageMargins left="0.23622047244094491" right="0.23622047244094491" top="0.74803149606299213" bottom="0.74803149606299213" header="0.31496062992125984" footer="0.31496062992125984"/>
  <pageSetup paperSize="34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Dodream</cp:lastModifiedBy>
  <dcterms:created xsi:type="dcterms:W3CDTF">2013-10-30T06:24:24Z</dcterms:created>
  <dcterms:modified xsi:type="dcterms:W3CDTF">2014-03-13T12:47:36Z</dcterms:modified>
</cp:coreProperties>
</file>